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836229BF-DC36-4194-8E06-BC42E663002B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ΔΡΑΣΕΙΣ!$A$1:$J$399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3" l="1"/>
  <c r="I9" i="3"/>
  <c r="J9" i="3"/>
  <c r="G6" i="20"/>
  <c r="B5" i="20" s="1"/>
  <c r="G5" i="20"/>
  <c r="B4" i="20"/>
  <c r="A2" i="20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<sst xmlns="http://schemas.openxmlformats.org/spreadsheetml/2006/main" count="242" uniqueCount="128">
  <si>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</si>
  <si>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</si>
  <si>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</si>
  <si>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</si>
  <si>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</si>
  <si>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</si>
  <si>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</si>
  <si>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</si>
  <si>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</si>
  <si>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</si>
  <si>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</si>
  <si>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</si>
  <si>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</si>
  <si>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</si>
  <si>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</si>
  <si>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</si>
  <si>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</si>
  <si>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</si>
  <si>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</si>
  <si>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</si>
  <si>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</si>
  <si>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</si>
  <si>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</si>
  <si>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</si>
  <si>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</si>
  <si>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</si>
  <si>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</si>
  <si>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</si>
  <si>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</si>
  <si>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</si>
  <si>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</si>
  <si>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</si>
  <si>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</si>
  <si>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</si>
  <si>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</si>
  <si>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</si>
  <si>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</si>
  <si>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</si>
  <si>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</si>
  <si>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</si>
  <si>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</si>
  <si>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</si>
  <si>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</si>
  <si>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</si>
  <si>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</si>
  <si>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</si>
  <si>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</si>
  <si>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</si>
  <si>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</si>
  <si>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</si>
  <si>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</si>
  <si>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</t>
  </si>
  <si>
    <t>Εκδηλώσεις για την επέτειο του Πολυτεχνείου</t>
  </si>
  <si>
    <t>Επέτειος Πολυτεχνείου – Αργία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</si>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</sst>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</cellXfs>
  <cellStyles count="1">
    <cellStyle name="Κανονικό" xfId="0" builtinId="0"/>
  </cellStyles>
  <dxfs count="36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49" t="s">
        <v>0</v>
      </c>
      <c r="B1" s="49"/>
    </row>
    <row r="3" spans="1:2" ht="15.6" x14ac:dyDescent="0.3">
      <c r="A3" s="2" t="s">
        <v>1</v>
      </c>
      <c r="B3" s="3">
        <v>2026</v>
      </c>
    </row>
    <row r="4" spans="1:2" x14ac:dyDescent="0.3">
      <c r="A4" s="50" t="s">
        <v>2</v>
      </c>
      <c r="B4" s="50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89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64" t="s">
        <v>93</v>
      </c>
      <c r="B10" s="65" t="s">
        <v>127</v>
      </c>
    </row>
    <row r="11" spans="1:2" x14ac:dyDescent="0.3">
      <c r="A11" s="55"/>
      <c r="B11" s="55"/>
    </row>
    <row r="12" spans="1:2" x14ac:dyDescent="0.3">
      <c r="A12" s="56" t="s">
        <v>94</v>
      </c>
      <c r="B12" s="57"/>
    </row>
    <row r="13" spans="1:2" ht="27.6" x14ac:dyDescent="0.3">
      <c r="A13" s="58" t="s">
        <v>95</v>
      </c>
      <c r="B13" s="59" t="s">
        <v>96</v>
      </c>
    </row>
    <row r="14" spans="1:2" ht="27.6" x14ac:dyDescent="0.3">
      <c r="A14" s="58" t="s">
        <v>97</v>
      </c>
      <c r="B14" s="59" t="s">
        <v>98</v>
      </c>
    </row>
    <row r="15" spans="1:2" ht="27.6" x14ac:dyDescent="0.3">
      <c r="A15" s="58" t="s">
        <v>99</v>
      </c>
      <c r="B15" s="59" t="s">
        <v>100</v>
      </c>
    </row>
    <row r="16" spans="1:2" ht="41.4" x14ac:dyDescent="0.3">
      <c r="A16" s="58" t="s">
        <v>101</v>
      </c>
      <c r="B16" s="59" t="s">
        <v>102</v>
      </c>
    </row>
    <row r="17" spans="1:2" ht="41.4" x14ac:dyDescent="0.3">
      <c r="A17" s="58" t="s">
        <v>103</v>
      </c>
      <c r="B17" s="59" t="s">
        <v>104</v>
      </c>
    </row>
    <row r="18" spans="1:2" x14ac:dyDescent="0.3">
      <c r="A18" s="58"/>
      <c r="B18" s="59"/>
    </row>
    <row r="19" spans="1:2" x14ac:dyDescent="0.3">
      <c r="A19" s="56" t="s">
        <v>105</v>
      </c>
      <c r="B19" s="57"/>
    </row>
    <row r="20" spans="1:2" ht="27.6" x14ac:dyDescent="0.3">
      <c r="A20" s="58" t="s">
        <v>106</v>
      </c>
      <c r="B20" s="59" t="s">
        <v>107</v>
      </c>
    </row>
    <row r="21" spans="1:2" ht="27.6" x14ac:dyDescent="0.3">
      <c r="A21" s="58" t="s">
        <v>108</v>
      </c>
      <c r="B21" s="59" t="s">
        <v>109</v>
      </c>
    </row>
    <row r="22" spans="1:2" ht="27.6" x14ac:dyDescent="0.3">
      <c r="A22" s="58" t="s">
        <v>110</v>
      </c>
      <c r="B22" s="59" t="s">
        <v>111</v>
      </c>
    </row>
    <row r="23" spans="1:2" ht="41.4" x14ac:dyDescent="0.3">
      <c r="A23" s="58" t="s">
        <v>112</v>
      </c>
      <c r="B23" s="59" t="s">
        <v>113</v>
      </c>
    </row>
    <row r="24" spans="1:2" ht="27.6" x14ac:dyDescent="0.3">
      <c r="A24" s="58" t="s">
        <v>114</v>
      </c>
      <c r="B24" s="59" t="s">
        <v>115</v>
      </c>
    </row>
    <row r="25" spans="1:2" ht="27.6" x14ac:dyDescent="0.3">
      <c r="A25" s="58" t="s">
        <v>116</v>
      </c>
      <c r="B25" s="59" t="s">
        <v>117</v>
      </c>
    </row>
    <row r="26" spans="1:2" ht="27.6" x14ac:dyDescent="0.3">
      <c r="A26" s="58" t="s">
        <v>118</v>
      </c>
      <c r="B26" s="59" t="s">
        <v>119</v>
      </c>
    </row>
    <row r="27" spans="1:2" ht="27.6" x14ac:dyDescent="0.3">
      <c r="A27" s="60" t="s">
        <v>120</v>
      </c>
      <c r="B27" s="61" t="s">
        <v>121</v>
      </c>
    </row>
    <row r="28" spans="1:2" x14ac:dyDescent="0.3">
      <c r="A28" s="58"/>
      <c r="B28" s="59"/>
    </row>
    <row r="29" spans="1:2" x14ac:dyDescent="0.3">
      <c r="A29" s="56" t="s">
        <v>122</v>
      </c>
      <c r="B29" s="57"/>
    </row>
    <row r="30" spans="1:2" ht="41.4" x14ac:dyDescent="0.3">
      <c r="A30" s="58" t="s">
        <v>123</v>
      </c>
      <c r="B30" s="59" t="s">
        <v>124</v>
      </c>
    </row>
    <row r="31" spans="1:2" ht="28.8" x14ac:dyDescent="0.3">
      <c r="A31" s="62" t="s">
        <v>125</v>
      </c>
      <c r="B31" s="63" t="s">
        <v>126</v>
      </c>
    </row>
    <row r="32" spans="1:2" x14ac:dyDescent="0.3">
      <c r="A32" s="55"/>
      <c r="B32" s="55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92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tabSelected="1" zoomScaleNormal="100" workbookViewId="0">
      <pane ySplit="1" topLeftCell="A20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46342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Δευ</v>
      </c>
      <c r="I8" s="23" t="str">
        <f>IF($A8="","",$A8&amp;"#"&amp;COUNTIF($A$2:$A8,$A8))</f>
        <v>46342#1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46343</v>
      </c>
      <c r="B9" s="20"/>
      <c r="C9" s="21" t="s">
        <v>53</v>
      </c>
      <c r="D9" s="21" t="s">
        <v>25</v>
      </c>
      <c r="E9" s="21"/>
      <c r="F9" s="21"/>
      <c r="G9" s="21"/>
      <c r="H9" s="22" t="str">
        <f t="shared" si="0"/>
        <v>Τρί</v>
      </c>
      <c r="I9" s="23" t="str">
        <f>IF($A9="","",$A9&amp;"#"&amp;COUNTIF($A$2:$A9,$A9))</f>
        <v>46343#1</v>
      </c>
      <c r="J9" s="23" t="str">
        <f t="shared" si="1"/>
        <v>Επέτειος Πολυτεχνείου – Αργία</v>
      </c>
    </row>
    <row r="10" spans="1:10" x14ac:dyDescent="0.3">
      <c r="A10" s="19">
        <v>46379</v>
      </c>
      <c r="B10" s="20"/>
      <c r="C10" s="21" t="s">
        <v>54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55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55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55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55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55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55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55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55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55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55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55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56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57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58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59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60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61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46503</v>
      </c>
      <c r="B28" s="20"/>
      <c r="C28" s="21" t="s">
        <v>62</v>
      </c>
      <c r="D28" s="21" t="s">
        <v>25</v>
      </c>
      <c r="E28" s="21"/>
      <c r="F28" s="21"/>
      <c r="G28" s="21"/>
      <c r="H28" s="22" t="str">
        <f t="shared" si="0"/>
        <v>Δευ</v>
      </c>
      <c r="I28" s="23" t="str">
        <f>IF($A28="","",$A28&amp;"#"&amp;COUNTIF($A$2:$A28,$A28))</f>
        <v>46503#1</v>
      </c>
      <c r="J28" s="23" t="str">
        <f t="shared" si="1"/>
        <v>Διακοπές Πάσχα</v>
      </c>
    </row>
    <row r="29" spans="1:10" x14ac:dyDescent="0.3">
      <c r="A29" s="19">
        <v>46504</v>
      </c>
      <c r="B29" s="20"/>
      <c r="C29" s="21" t="s">
        <v>62</v>
      </c>
      <c r="D29" s="21" t="s">
        <v>25</v>
      </c>
      <c r="E29" s="21"/>
      <c r="F29" s="21"/>
      <c r="G29" s="21"/>
      <c r="H29" s="22" t="str">
        <f t="shared" si="0"/>
        <v>Τρί</v>
      </c>
      <c r="I29" s="23" t="str">
        <f>IF($A29="","",$A29&amp;"#"&amp;COUNTIF($A$2:$A29,$A29))</f>
        <v>46504#1</v>
      </c>
      <c r="J29" s="23" t="str">
        <f t="shared" si="1"/>
        <v>Διακοπές Πάσχα</v>
      </c>
    </row>
    <row r="30" spans="1:10" x14ac:dyDescent="0.3">
      <c r="A30" s="19">
        <v>46505</v>
      </c>
      <c r="B30" s="20"/>
      <c r="C30" s="21" t="s">
        <v>62</v>
      </c>
      <c r="D30" s="21" t="s">
        <v>25</v>
      </c>
      <c r="E30" s="21"/>
      <c r="F30" s="21"/>
      <c r="G30" s="21"/>
      <c r="H30" s="22" t="str">
        <f t="shared" si="0"/>
        <v>Τετ</v>
      </c>
      <c r="I30" s="23" t="str">
        <f>IF($A30="","",$A30&amp;"#"&amp;COUNTIF($A$2:$A30,$A30))</f>
        <v>46505#1</v>
      </c>
      <c r="J30" s="23" t="str">
        <f t="shared" si="1"/>
        <v>Διακοπές Πάσχα</v>
      </c>
    </row>
    <row r="31" spans="1:10" x14ac:dyDescent="0.3">
      <c r="A31" s="19">
        <v>46506</v>
      </c>
      <c r="B31" s="20"/>
      <c r="C31" s="21" t="s">
        <v>62</v>
      </c>
      <c r="D31" s="21" t="s">
        <v>25</v>
      </c>
      <c r="E31" s="21"/>
      <c r="F31" s="21"/>
      <c r="G31" s="21"/>
      <c r="H31" s="22" t="str">
        <f t="shared" si="0"/>
        <v>Πέμ</v>
      </c>
      <c r="I31" s="23" t="str">
        <f>IF($A31="","",$A31&amp;"#"&amp;COUNTIF($A$2:$A31,$A31))</f>
        <v>46506#1</v>
      </c>
      <c r="J31" s="23" t="str">
        <f t="shared" si="1"/>
        <v>Διακοπές Πάσχα</v>
      </c>
    </row>
    <row r="32" spans="1:10" x14ac:dyDescent="0.3">
      <c r="A32" s="19">
        <v>46507</v>
      </c>
      <c r="B32" s="20"/>
      <c r="C32" s="21" t="s">
        <v>62</v>
      </c>
      <c r="D32" s="21" t="s">
        <v>25</v>
      </c>
      <c r="E32" s="21"/>
      <c r="F32" s="21"/>
      <c r="G32" s="21"/>
      <c r="H32" s="22" t="str">
        <f t="shared" si="0"/>
        <v>Παρ</v>
      </c>
      <c r="I32" s="23" t="str">
        <f>IF($A32="","",$A32&amp;"#"&amp;COUNTIF($A$2:$A32,$A32))</f>
        <v>46507#1</v>
      </c>
      <c r="J32" s="23" t="str">
        <f t="shared" si="1"/>
        <v>Διακοπές Πάσχα</v>
      </c>
    </row>
    <row r="33" spans="1:10" x14ac:dyDescent="0.3">
      <c r="A33" s="19">
        <v>46510</v>
      </c>
      <c r="B33" s="20"/>
      <c r="C33" s="21" t="s">
        <v>62</v>
      </c>
      <c r="D33" s="21" t="s">
        <v>25</v>
      </c>
      <c r="E33" s="21"/>
      <c r="F33" s="21"/>
      <c r="G33" s="21"/>
      <c r="H33" s="22" t="str">
        <f t="shared" si="0"/>
        <v>Δευ</v>
      </c>
      <c r="I33" s="23" t="str">
        <f>IF($A33="","",$A33&amp;"#"&amp;COUNTIF($A$2:$A33,$A33))</f>
        <v>46510#1</v>
      </c>
      <c r="J33" s="23" t="str">
        <f t="shared" si="1"/>
        <v>Διακοπές Πάσχα</v>
      </c>
    </row>
    <row r="34" spans="1:10" x14ac:dyDescent="0.3">
      <c r="A34" s="19">
        <v>46511</v>
      </c>
      <c r="B34" s="20"/>
      <c r="C34" s="21" t="s">
        <v>62</v>
      </c>
      <c r="D34" s="21" t="s">
        <v>25</v>
      </c>
      <c r="E34" s="21"/>
      <c r="F34" s="21"/>
      <c r="G34" s="21"/>
      <c r="H34" s="22" t="str">
        <f t="shared" si="0"/>
        <v>Τρί</v>
      </c>
      <c r="I34" s="23" t="str">
        <f>IF($A34="","",$A34&amp;"#"&amp;COUNTIF($A$2:$A34,$A34))</f>
        <v>46511#1</v>
      </c>
      <c r="J34" s="23" t="str">
        <f t="shared" si="1"/>
        <v>Διακοπές Πάσχα</v>
      </c>
    </row>
    <row r="35" spans="1:10" x14ac:dyDescent="0.3">
      <c r="A35" s="19">
        <v>46512</v>
      </c>
      <c r="B35" s="20"/>
      <c r="C35" s="21" t="s">
        <v>62</v>
      </c>
      <c r="D35" s="21" t="s">
        <v>25</v>
      </c>
      <c r="E35" s="21"/>
      <c r="F35" s="21"/>
      <c r="G35" s="21"/>
      <c r="H35" s="22" t="str">
        <f t="shared" si="0"/>
        <v>Τετ</v>
      </c>
      <c r="I35" s="23" t="str">
        <f>IF($A35="","",$A35&amp;"#"&amp;COUNTIF($A$2:$A35,$A35))</f>
        <v>46512#1</v>
      </c>
      <c r="J35" s="23" t="str">
        <f t="shared" si="1"/>
        <v>Διακοπές Πάσχα</v>
      </c>
    </row>
    <row r="36" spans="1:10" x14ac:dyDescent="0.3">
      <c r="A36" s="19">
        <v>46513</v>
      </c>
      <c r="B36" s="20"/>
      <c r="C36" s="21" t="s">
        <v>62</v>
      </c>
      <c r="D36" s="21" t="s">
        <v>25</v>
      </c>
      <c r="E36" s="21"/>
      <c r="F36" s="21"/>
      <c r="G36" s="21"/>
      <c r="H36" s="22" t="str">
        <f t="shared" si="0"/>
        <v>Πέμ</v>
      </c>
      <c r="I36" s="23" t="str">
        <f>IF($A36="","",$A36&amp;"#"&amp;COUNTIF($A$2:$A36,$A36))</f>
        <v>46513#1</v>
      </c>
      <c r="J36" s="23" t="str">
        <f t="shared" si="1"/>
        <v>Διακοπές Πάσχα</v>
      </c>
    </row>
    <row r="37" spans="1:10" x14ac:dyDescent="0.3">
      <c r="A37" s="19">
        <v>46514</v>
      </c>
      <c r="B37" s="20"/>
      <c r="C37" s="21" t="s">
        <v>62</v>
      </c>
      <c r="D37" s="21" t="s">
        <v>25</v>
      </c>
      <c r="E37" s="21"/>
      <c r="F37" s="21"/>
      <c r="G37" s="21"/>
      <c r="H37" s="22" t="str">
        <f t="shared" si="0"/>
        <v>Παρ</v>
      </c>
      <c r="I37" s="23" t="str">
        <f>IF($A37="","",$A37&amp;"#"&amp;COUNTIF($A$2:$A37,$A37))</f>
        <v>46514#1</v>
      </c>
      <c r="J37" s="23" t="str">
        <f t="shared" si="1"/>
        <v>Διακοπές Πάσχα</v>
      </c>
    </row>
    <row r="38" spans="1:10" x14ac:dyDescent="0.3">
      <c r="A38" s="19">
        <v>46517</v>
      </c>
      <c r="B38" s="20"/>
      <c r="C38" s="21" t="s">
        <v>63</v>
      </c>
      <c r="D38" s="21" t="s">
        <v>30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46517#1</v>
      </c>
      <c r="J38" s="23" t="str">
        <f t="shared" si="1"/>
        <v>Επαναλειτουργία σχολείου μετά το Πάσχα (εκτίμηση)</v>
      </c>
    </row>
    <row r="39" spans="1:10" x14ac:dyDescent="0.3">
      <c r="A39" s="19">
        <v>46559</v>
      </c>
      <c r="B39" s="20"/>
      <c r="C39" s="21" t="s">
        <v>64</v>
      </c>
      <c r="D39" s="21" t="s">
        <v>25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46559#1</v>
      </c>
      <c r="J39" s="23" t="str">
        <f t="shared" si="1"/>
        <v>Αγίου Πνεύματος – Αργία</v>
      </c>
    </row>
    <row r="40" spans="1:10" x14ac:dyDescent="0.3">
      <c r="A40" s="19">
        <v>46568</v>
      </c>
      <c r="B40" s="20"/>
      <c r="C40" s="21" t="s">
        <v>65</v>
      </c>
      <c r="D40" s="21" t="s">
        <v>30</v>
      </c>
      <c r="E40" s="21"/>
      <c r="F40" s="21"/>
      <c r="G40" s="21"/>
      <c r="H40" s="22" t="str">
        <f t="shared" si="0"/>
        <v>Τετ</v>
      </c>
      <c r="I40" s="23" t="str">
        <f>IF($A40="","",$A40&amp;"#"&amp;COUNTIF($A$2:$A40,$A40))</f>
        <v>46568#1</v>
      </c>
      <c r="J40" s="23" t="str">
        <f t="shared" si="1"/>
        <v>Λήξη διδακτικού έτους</v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 A5:G399">
    <cfRule type="expression" dxfId="35" priority="10">
      <formula>AND($A2="",$A1&lt;&gt;"")</formula>
    </cfRule>
  </conditionalFormatting>
  <conditionalFormatting sqref="A2:G399">
    <cfRule type="expression" dxfId="34" priority="2">
      <formula>$D2="Αργία / Διακοπές"</formula>
    </cfRule>
    <cfRule type="expression" dxfId="33" priority="3">
      <formula>$D2="Εορτή / Εκκλησιασμός"</formula>
    </cfRule>
    <cfRule type="expression" dxfId="32" priority="4">
      <formula>$D2="Εκδρομή / Επίσκεψη / Περίπατος"</formula>
    </cfRule>
    <cfRule type="expression" dxfId="31" priority="5">
      <formula>$D2="Σύλλογος διδασκόντων"</formula>
    </cfRule>
    <cfRule type="expression" dxfId="30" priority="6">
      <formula>$D2="Ενημέρωση γονέων / Έλεγχοι"</formula>
    </cfRule>
    <cfRule type="expression" dxfId="29" priority="7">
      <formula>$D2="Ορόσημο / Εξετάσεις"</formula>
    </cfRule>
    <cfRule type="expression" dxfId="28" priority="8">
      <formula>$D2="Επιμόρφωση εκπαιδευτικών"</formula>
    </cfRule>
    <cfRule type="expression" dxfId="27" priority="9">
      <formula>$D2="Δράση / Πρόγραμμα / Όμιλος"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47" t="s">
        <v>0</v>
      </c>
      <c r="B1" s="47"/>
      <c r="C1" s="47"/>
      <c r="D1" s="47"/>
      <c r="E1" s="47"/>
      <c r="F1" s="47"/>
      <c r="G1" s="47"/>
      <c r="H1" s="47"/>
      <c r="I1" s="47"/>
      <c r="K1" s="36" t="s">
        <v>82</v>
      </c>
      <c r="N1" t="s">
        <v>69</v>
      </c>
      <c r="O1" t="s">
        <v>70</v>
      </c>
      <c r="P1" t="s">
        <v>71</v>
      </c>
    </row>
    <row r="2" spans="1:16" ht="24" customHeight="1" x14ac:dyDescent="0.3">
      <c r="A2" s="48" t="str">
        <f>$L$2&amp;" "&amp;$L$6</f>
        <v>ΟΚΤΩΒΡΙΟΣ 2026</v>
      </c>
      <c r="B2" s="48"/>
      <c r="C2" s="48"/>
      <c r="D2" s="48"/>
      <c r="F2" s="48" t="str">
        <f>$L$3&amp;" "&amp;$L$8</f>
        <v>ΝΟΕΜΒΡΙΟΣ 2026</v>
      </c>
      <c r="G2" s="48"/>
      <c r="H2" s="48"/>
      <c r="I2" s="48"/>
      <c r="K2" s="34" t="s">
        <v>83</v>
      </c>
      <c r="L2" s="38" t="s">
        <v>73</v>
      </c>
      <c r="N2" t="s">
        <v>72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66</v>
      </c>
      <c r="C3" s="24" t="s">
        <v>33</v>
      </c>
      <c r="D3" s="24" t="s">
        <v>67</v>
      </c>
      <c r="F3" s="24" t="s">
        <v>42</v>
      </c>
      <c r="G3" s="24" t="s">
        <v>66</v>
      </c>
      <c r="H3" s="24" t="s">
        <v>33</v>
      </c>
      <c r="I3" s="24" t="s">
        <v>67</v>
      </c>
      <c r="K3" s="35" t="s">
        <v>84</v>
      </c>
      <c r="L3" s="37" t="s">
        <v>74</v>
      </c>
      <c r="N3" t="s">
        <v>73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74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85</v>
      </c>
      <c r="L5">
        <f>INDEX($O$2:$O$11,MATCH($L$2,$N$2:$N$11,0))</f>
        <v>10</v>
      </c>
      <c r="N5" t="s">
        <v>75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86</v>
      </c>
      <c r="L6">
        <f>ΟΔΗΓΙΕΣ!$B$3+INDEX($P$2:$P$11,MATCH($L$2,$N$2:$N$11,0))</f>
        <v>2026</v>
      </c>
      <c r="N6" t="s">
        <v>76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Επιμόρφωση εκπαιδευτικών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87</v>
      </c>
      <c r="L7">
        <f>INDEX($O$2:$O$11,MATCH($L$3,$N$2:$N$11,0))</f>
        <v>11</v>
      </c>
      <c r="N7" t="s">
        <v>77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88</v>
      </c>
      <c r="L8">
        <f>ΟΔΗΓΙΕΣ!$B$3+INDEX($P$2:$P$11,MATCH($L$3,$N$2:$N$11,0))</f>
        <v>2026</v>
      </c>
      <c r="N8" t="s">
        <v>78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79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80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81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>Εορτή / Εκκλησιασμός</v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>Εκδηλώσεις για την επέτειο του Πολυτεχνείου</v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Αργία / Διακοπές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Επέτειος Πολυτεχνείου – Αργία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/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68</v>
      </c>
    </row>
    <row r="37" spans="1:9" ht="15" customHeight="1" x14ac:dyDescent="0.3">
      <c r="A37" s="7"/>
      <c r="B37" s="46" t="s">
        <v>25</v>
      </c>
      <c r="C37" s="46"/>
      <c r="D37" s="46"/>
      <c r="F37" s="12"/>
      <c r="G37" s="46" t="s">
        <v>29</v>
      </c>
      <c r="H37" s="46"/>
      <c r="I37" s="46"/>
    </row>
    <row r="38" spans="1:9" ht="15" customHeight="1" x14ac:dyDescent="0.3">
      <c r="A38" s="9"/>
      <c r="B38" s="46" t="s">
        <v>26</v>
      </c>
      <c r="C38" s="46"/>
      <c r="D38" s="46"/>
      <c r="F38" s="13"/>
      <c r="G38" s="46" t="s">
        <v>30</v>
      </c>
      <c r="H38" s="46"/>
      <c r="I38" s="46"/>
    </row>
    <row r="39" spans="1:9" ht="15" customHeight="1" x14ac:dyDescent="0.3">
      <c r="A39" s="10"/>
      <c r="B39" s="46" t="s">
        <v>27</v>
      </c>
      <c r="C39" s="46"/>
      <c r="D39" s="46"/>
      <c r="F39" s="14"/>
      <c r="G39" s="46" t="s">
        <v>31</v>
      </c>
      <c r="H39" s="46"/>
      <c r="I39" s="46"/>
    </row>
    <row r="40" spans="1:9" ht="15" customHeight="1" x14ac:dyDescent="0.3">
      <c r="A40" s="11"/>
      <c r="B40" s="46" t="s">
        <v>28</v>
      </c>
      <c r="C40" s="46"/>
      <c r="D40" s="46"/>
      <c r="F40" s="15"/>
      <c r="G40" s="46" t="s">
        <v>32</v>
      </c>
      <c r="H40" s="46"/>
      <c r="I40" s="46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$C4="Επιμόρφωση εκπαιδευτικών"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$H4="Επιμόρφωση εκπαιδευτικών"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53" t="s">
        <v>0</v>
      </c>
      <c r="B1" s="47"/>
      <c r="C1" s="47"/>
      <c r="D1" s="47"/>
      <c r="F1" s="36" t="s">
        <v>90</v>
      </c>
      <c r="G1" s="34"/>
      <c r="I1" t="s">
        <v>69</v>
      </c>
      <c r="J1" t="s">
        <v>70</v>
      </c>
      <c r="K1" t="s">
        <v>71</v>
      </c>
    </row>
    <row r="2" spans="1:11" ht="24" customHeight="1" x14ac:dyDescent="0.3">
      <c r="A2" s="54" t="str">
        <f>$G$2&amp;" "&amp;$G$6</f>
        <v>ΝΟΕΜΒΡΙΟΣ 2026</v>
      </c>
      <c r="B2" s="48"/>
      <c r="C2" s="48"/>
      <c r="D2" s="48"/>
      <c r="F2" s="34" t="s">
        <v>91</v>
      </c>
      <c r="G2" s="39" t="s">
        <v>74</v>
      </c>
      <c r="I2" t="s">
        <v>72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66</v>
      </c>
      <c r="C3" s="24" t="s">
        <v>33</v>
      </c>
      <c r="D3" s="24" t="s">
        <v>67</v>
      </c>
      <c r="F3" s="34"/>
      <c r="G3" s="34"/>
      <c r="I3" t="s">
        <v>73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74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85</v>
      </c>
      <c r="G5" s="34">
        <f>INDEX($J$2:$J$11,MATCH($G$2,$I$2:$I$11,0))</f>
        <v>11</v>
      </c>
      <c r="I5" t="s">
        <v>75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86</v>
      </c>
      <c r="G6" s="34">
        <f>ΟΔΗΓΙΕΣ!$B$3+INDEX($K$2:$K$11,MATCH($G$2,$I$2:$I$11,0))</f>
        <v>2026</v>
      </c>
      <c r="I6" t="s">
        <v>76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Επιμόρφωση εκπαιδευτικών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77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78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79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80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81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>Εορτή / Εκκλησιασμός</v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>Εκδηλώσεις για την επέτειο του Πολυτεχνείου</v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Αργία / Διακοπές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Επέτειος Πολυτεχνείου – Αργία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68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51" t="s">
        <v>29</v>
      </c>
      <c r="C41" s="52"/>
      <c r="D41" s="52"/>
    </row>
    <row r="42" spans="1:4" x14ac:dyDescent="0.3">
      <c r="A42" s="31"/>
      <c r="B42" s="51" t="s">
        <v>30</v>
      </c>
      <c r="C42" s="52"/>
      <c r="D42" s="52"/>
    </row>
    <row r="43" spans="1:4" x14ac:dyDescent="0.3">
      <c r="A43" s="33"/>
      <c r="B43" s="51" t="s">
        <v>31</v>
      </c>
      <c r="C43" s="52"/>
      <c r="D43" s="52"/>
    </row>
    <row r="44" spans="1:4" x14ac:dyDescent="0.3">
      <c r="A44" s="41"/>
      <c r="B44" s="51" t="s">
        <v>32</v>
      </c>
      <c r="C44" s="51"/>
      <c r="D44" s="51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$C4="Επιμόρφωση εκπαιδευτικών"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2026-09-19T12:41:57Z</dcterms:modified>
  <dc:language>en-US</dc:language>
</cp:coreProperties>
</file>