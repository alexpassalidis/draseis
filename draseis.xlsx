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arel\Downloads\"/>
    </mc:Choice>
  </mc:AlternateContent>
  <xr:revisionPtr revIDLastSave="0" documentId="13_ncr:1_{D20BEE76-92A1-480A-8166-EA025F69A7FA}" xr6:coauthVersionLast="47" xr6:coauthVersionMax="47" xr10:uidLastSave="{00000000-0000-0000-0000-000000000000}"/>
  <bookViews>
    <workbookView xWindow="-108" yWindow="-108" windowWidth="23256" windowHeight="13896" tabRatio="500" firstSheet="4" activeTab="4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  <sheet name="ΑΦΙΣΑ_1ΜΗΝΑΣ_λίστα" sheetId="21" r:id="rId6"/>
  </sheets>
  <definedNames>
    <definedName name="_xlnm._FilterDatabase" localSheetId="2" hidden="1">ΔΡΑΣΕΙΣ!$A$1:$J$399</definedName>
    <definedName name="_xlnm.Print_Area" localSheetId="4">ΑΦΙΣΑ_1ΜΗΝΑΣ!$A$1:$G$37</definedName>
    <definedName name="_xlnm.Print_Area" localSheetId="5">ΑΦΙΣΑ_1ΜΗΝΑΣ_λίστα!$A$1:$D$44</definedName>
    <definedName name="_xlnm.Print_Area" localSheetId="3">ΑΦΙΣΑ_ΕΠΙΛΟΓΗΣ!$A$1:$I$40</definedName>
    <definedName name="_xlnm.Print_Area" localSheetId="2">ΔΡΑΣΕΙΣ!$A$1:$G$119</definedName>
    <definedName name="_xlnm.Print_Titles" localSheetId="4">ΑΦΙΣΑ_1ΜΗΝΑΣ!$1:$3</definedName>
    <definedName name="_xlnm.Print_Titles" localSheetId="5">ΑΦΙΣΑ_1ΜΗΝΑΣ_λίστα!$1:$3</definedName>
    <definedName name="_xlnm.Print_Titles" localSheetId="3">ΑΦΙΣΑ_ΕΠΙΛΟΓΗΣ!$1:$3</definedName>
    <definedName name="_xlnm.Print_Titles" localSheetId="2">ΔΡΑΣΕΙΣ!$1:$1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3" l="1"/>
  <c r="I9" i="3"/>
  <c r="H9" i="3"/>
  <c r="D37" i="20"/>
  <c r="C37" i="20"/>
  <c r="B37" i="20"/>
  <c r="A37" i="20"/>
  <c r="D36" i="20"/>
  <c r="C36" i="20"/>
  <c r="B36" i="20"/>
  <c r="A36" i="20"/>
  <c r="A1" i="20"/>
  <c r="L6" i="20"/>
  <c r="L5" i="20"/>
  <c r="G6" i="21"/>
  <c r="G5" i="21"/>
  <c r="L8" i="19"/>
  <c r="L7" i="19"/>
  <c r="L6" i="19"/>
  <c r="L5" i="19"/>
  <c r="J399" i="3"/>
  <c r="I399" i="3"/>
  <c r="H399" i="3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L7" i="20" l="1"/>
  <c r="A2" i="20"/>
  <c r="B7" i="21"/>
  <c r="B32" i="21"/>
  <c r="B30" i="21"/>
  <c r="B17" i="21"/>
  <c r="B16" i="21"/>
  <c r="B12" i="21"/>
  <c r="B11" i="21"/>
  <c r="B10" i="21"/>
  <c r="B34" i="21"/>
  <c r="B33" i="21"/>
  <c r="B31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5" i="21"/>
  <c r="B14" i="21"/>
  <c r="B13" i="21"/>
  <c r="B9" i="21"/>
  <c r="B8" i="21"/>
  <c r="B6" i="21"/>
  <c r="B5" i="21"/>
  <c r="B4" i="21"/>
  <c r="A2" i="21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G4" i="20" l="1"/>
  <c r="G5" i="20" s="1"/>
  <c r="E4" i="20"/>
  <c r="E5" i="20" s="1"/>
  <c r="B4" i="20"/>
  <c r="B5" i="20" s="1"/>
  <c r="G9" i="20"/>
  <c r="G10" i="20" s="1"/>
  <c r="D9" i="20"/>
  <c r="D10" i="20" s="1"/>
  <c r="D24" i="20"/>
  <c r="D25" i="20" s="1"/>
  <c r="B24" i="20"/>
  <c r="B25" i="20" s="1"/>
  <c r="F4" i="20"/>
  <c r="F5" i="20" s="1"/>
  <c r="C4" i="20"/>
  <c r="C5" i="20" s="1"/>
  <c r="E9" i="20"/>
  <c r="E10" i="20" s="1"/>
  <c r="C9" i="20"/>
  <c r="C10" i="20" s="1"/>
  <c r="A9" i="20"/>
  <c r="A10" i="20" s="1"/>
  <c r="F14" i="20"/>
  <c r="F15" i="20" s="1"/>
  <c r="E14" i="20"/>
  <c r="E15" i="20" s="1"/>
  <c r="C14" i="20"/>
  <c r="C15" i="20" s="1"/>
  <c r="A14" i="20"/>
  <c r="A15" i="20" s="1"/>
  <c r="F19" i="20"/>
  <c r="F20" i="20" s="1"/>
  <c r="D19" i="20"/>
  <c r="D20" i="20" s="1"/>
  <c r="B19" i="20"/>
  <c r="B20" i="20" s="1"/>
  <c r="G24" i="20"/>
  <c r="G25" i="20" s="1"/>
  <c r="E24" i="20"/>
  <c r="E25" i="20" s="1"/>
  <c r="C24" i="20"/>
  <c r="C25" i="20" s="1"/>
  <c r="A24" i="20"/>
  <c r="A25" i="20" s="1"/>
  <c r="G29" i="20"/>
  <c r="G30" i="20" s="1"/>
  <c r="F29" i="20"/>
  <c r="F30" i="20" s="1"/>
  <c r="E29" i="20"/>
  <c r="E30" i="20" s="1"/>
  <c r="D29" i="20"/>
  <c r="D30" i="20" s="1"/>
  <c r="C29" i="20"/>
  <c r="C30" i="20" s="1"/>
  <c r="B29" i="20"/>
  <c r="B30" i="20" s="1"/>
  <c r="A29" i="20"/>
  <c r="A30" i="20" s="1"/>
  <c r="D4" i="20"/>
  <c r="D5" i="20" s="1"/>
  <c r="A4" i="20"/>
  <c r="A5" i="20" s="1"/>
  <c r="F9" i="20"/>
  <c r="F10" i="20" s="1"/>
  <c r="B9" i="20"/>
  <c r="B10" i="20" s="1"/>
  <c r="G14" i="20"/>
  <c r="G15" i="20" s="1"/>
  <c r="D14" i="20"/>
  <c r="D15" i="20" s="1"/>
  <c r="B14" i="20"/>
  <c r="B15" i="20" s="1"/>
  <c r="G19" i="20"/>
  <c r="G20" i="20" s="1"/>
  <c r="E19" i="20"/>
  <c r="E20" i="20" s="1"/>
  <c r="C19" i="20"/>
  <c r="C20" i="20" s="1"/>
  <c r="A19" i="20"/>
  <c r="A20" i="20" s="1"/>
  <c r="F24" i="20"/>
  <c r="F25" i="20" s="1"/>
  <c r="C7" i="21"/>
  <c r="D7" i="21"/>
  <c r="A7" i="21"/>
  <c r="A32" i="21"/>
  <c r="C32" i="21"/>
  <c r="D32" i="21"/>
  <c r="C30" i="21"/>
  <c r="D30" i="21"/>
  <c r="A30" i="21"/>
  <c r="D17" i="21"/>
  <c r="C17" i="21"/>
  <c r="A17" i="21"/>
  <c r="D16" i="21"/>
  <c r="A16" i="21"/>
  <c r="C16" i="21"/>
  <c r="D12" i="21"/>
  <c r="A12" i="21"/>
  <c r="C12" i="21"/>
  <c r="D11" i="21"/>
  <c r="C11" i="21"/>
  <c r="A11" i="21"/>
  <c r="D10" i="21"/>
  <c r="C10" i="21"/>
  <c r="A10" i="21"/>
  <c r="C34" i="21"/>
  <c r="D34" i="21"/>
  <c r="A34" i="21"/>
  <c r="C33" i="21"/>
  <c r="D33" i="21"/>
  <c r="A33" i="21"/>
  <c r="D31" i="21"/>
  <c r="C31" i="21"/>
  <c r="A31" i="21"/>
  <c r="D29" i="21"/>
  <c r="A29" i="21"/>
  <c r="C29" i="21"/>
  <c r="D28" i="21"/>
  <c r="A28" i="21"/>
  <c r="C28" i="21"/>
  <c r="D27" i="21"/>
  <c r="C27" i="21"/>
  <c r="A27" i="21"/>
  <c r="D26" i="21"/>
  <c r="C26" i="21"/>
  <c r="A26" i="21"/>
  <c r="D25" i="21"/>
  <c r="C25" i="21"/>
  <c r="A25" i="21"/>
  <c r="D24" i="21"/>
  <c r="C24" i="21"/>
  <c r="A24" i="21"/>
  <c r="D23" i="21"/>
  <c r="C23" i="21"/>
  <c r="A23" i="21"/>
  <c r="D22" i="21"/>
  <c r="A22" i="21"/>
  <c r="C22" i="21"/>
  <c r="D21" i="21"/>
  <c r="A21" i="21"/>
  <c r="C21" i="21"/>
  <c r="D20" i="21"/>
  <c r="A20" i="21"/>
  <c r="C20" i="21"/>
  <c r="D19" i="21"/>
  <c r="C19" i="21"/>
  <c r="A19" i="21"/>
  <c r="D18" i="21"/>
  <c r="C18" i="21"/>
  <c r="A18" i="21"/>
  <c r="C15" i="21"/>
  <c r="A15" i="21"/>
  <c r="D15" i="21"/>
  <c r="D14" i="21"/>
  <c r="A14" i="21"/>
  <c r="C14" i="21"/>
  <c r="D13" i="21"/>
  <c r="C13" i="21"/>
  <c r="A13" i="21"/>
  <c r="D9" i="21"/>
  <c r="C9" i="21"/>
  <c r="A9" i="21"/>
  <c r="D8" i="21"/>
  <c r="C8" i="21"/>
  <c r="A8" i="21"/>
  <c r="C6" i="21"/>
  <c r="D6" i="21"/>
  <c r="A6" i="21"/>
  <c r="C5" i="21"/>
  <c r="D5" i="21"/>
  <c r="A5" i="21"/>
  <c r="C4" i="21"/>
  <c r="D4" i="21"/>
  <c r="A4" i="21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<sst xmlns="http://schemas.openxmlformats.org/spreadsheetml/2006/main" count="277" uniqueCount="145">
  <si>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</si>
  <si>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</si>
  <si>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</si>
  <si>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</si>
  <si>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</si>
  <si>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</si>
  <si>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</si>
  <si>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</si>
  <si>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</si>
  <si>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</si>
  <si>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</si>
  <si>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</si>
  <si>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</si>
  <si>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</si>
  <si>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</si>
  <si>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</si>
  <si>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</si>
  <si>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</si>
  <si>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</si>
  <si>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</si>
  <si>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</si>
  <si>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</si>
  <si>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</si>
  <si>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</si>
  <si>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</si>
  <si>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</si>
  <si>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</si>
  <si>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</si>
  <si>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</si>
  <si>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</si>
  <si>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</si>
  <si>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</si>
  <si>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</si>
  <si>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</si>
  <si>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</si>
  <si>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</si>
  <si>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</si>
  <si>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</si>
  <si>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</si>
  <si>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</si>
  <si>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</si>
  <si>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</si>
  <si>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</si>
  <si>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</si>
  <si>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</si>
  <si>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Αγιασμός – Έναρξη σχολικού έτους. Διαμοιρασμός σε τμήματα.</t>
  </si>
  <si>
    <t>Έναρξη μαθημάτων</t>
  </si>
  <si>
    <t>Αγίου Δημητρίου – τοπική αργία</t>
  </si>
  <si>
    <t>Εορταστικές εκδηλώσεις για την 28η Οκτωβρίου (χωρίς μάθημα)</t>
  </si>
  <si>
    <t>Εθνική επέτειος 28ης Οκτωβρίου – Αργία</t>
  </si>
  <si>
    <t>08:45-11:15</t>
  </si>
  <si>
    <t>Διαδικτυακή εκπαίδευση «Kids Save Lives» – επιμορφωτική δράση για μαθητές και εκπαιδευτικούς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</si>
  <si>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</si>
  <si>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</si>
  <si>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</si>
  <si>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</si>
  <si>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</si>
  <si>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</si>
  <si>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</si>
  <si>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</si>
  <si>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</si>
  <si>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</si>
  <si>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</si>
  <si>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</si>
  <si>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</si>
  <si>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</si>
  <si>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</si>
  <si>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</si>
  <si>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</si>
  <si>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</si>
  <si>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</si>
  <si>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</si>
  <si>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</si>
  <si>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</si>
  <si>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</si>
  <si>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</si>
  <si>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</si>
  <si>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</si>
  <si>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</si>
  <si>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</si>
  <si>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</si>
  <si>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</si>
  <si>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</si>
  <si>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</si>
  <si>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</si>
  <si>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</si>
  <si>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</si>
  <si>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</si>
  <si>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</si>
  <si>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</si>
  <si>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</si>
  <si>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</si>
  <si>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</si>
  <si>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</si>
  <si>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</si>
  <si>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</si>
  <si>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</si>
  <si>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</si>
  <si>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</si>
  <si>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</si>
  <si>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</si>
  <si>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</si>
  <si>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</si>
  <si>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</si>
  <si>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</si>
  <si>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</si>
  <si>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</si>
  <si>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</si>
  <si>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</si>
  <si>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</si>
  <si>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</si>
  <si>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</si>
  <si>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</si>
  <si>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 Αν μια δράση έχει διαφορετικά τμήματα σε διαφορετικές ώρες, χώρισέ τα με « / » και στις δύο στήλες με την ίδια σειρά, π.χ. ΩΡΕΣ «2η–3η ώρα / 4η–5η ώρα» και ΤΜΗΜΑΤΑ «Α1, Α2 / Α3».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</si>
  <si>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</si>
  <si>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</si>
  <si>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</si>
  <si>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</si>
  <si>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</si>
  <si>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</si>
  <si>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</si>
  <si>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</si>
  <si>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</si>
  <si>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</si>
  <si>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</si>
  <si>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</si>
  <si>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αρ. μήνα</t>
  </si>
  <si>
    <t>έτος</t>
  </si>
  <si>
    <t>1η μέρα πλέγματος</t>
  </si>
  <si>
    <t>ΔΕΥΤΕΡΑ</t>
  </si>
  <si>
    <t>ΤΡΙΤΗ</t>
  </si>
  <si>
    <t>ΤΕΤΑΡΤΗ</t>
  </si>
  <si>
    <t>ΠΕΜΠΤΗ</t>
  </si>
  <si>
    <t>ΠΑΡΑΣΚΕΥΗ</t>
  </si>
  <si>
    <t>ΣΑΒΒΑΤΟ</t>
  </si>
  <si>
    <t>ΚΥΡΙΑΚΗ</t>
  </si>
  <si>
    <t>ΣΗΜΕΙΩΣΕΙΣ ΜΗΝΑ</t>
  </si>
  <si>
    <t>ΑΦΙΣΑ_ΕΠΙΛΟΓΗΣ: δύο μήνες (L2, L3) → Α3 οριζόντια. ΑΦΙΣΑ_1ΜΗΝΑΣ: ημερολόγιο-πλέγμα ενός μήνα με χώρο για χειρόγραφες σημειώσεις (μήνας στο L2) → Α3 οριζόντια.</t>
  </si>
  <si>
    <t>09:00-12.30</t>
  </si>
  <si>
    <t>Μουσείο Μακεδονικού Αγώνα και διαδραστική έκθεση Van Gogh – The Immersive Experience (ΔΕΘ Helexpo)</t>
  </si>
  <si>
    <t>2η–3η ώρα / 4η–5η ώρα</t>
  </si>
  <si>
    <t>Α΄ τάξη: Επιμορφωτική δράση από «Το Χαμόγελο του Παιδιού»</t>
  </si>
  <si>
    <t>Α1, Α2 / Α3</t>
  </si>
  <si>
    <t>08:00-14:10</t>
  </si>
  <si>
    <t>Επίσκεψη στο Σπήλαιο Αλιστράτης και στο ΚΠΕ Ποροΐων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</si>
</sst>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"/>
    <numFmt numFmtId="166" formatCode="d"/>
  </numFmts>
  <fonts count="33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  <font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4"/>
      <color rgb="FFFFFFFF"/>
      <name val="Calibri"/>
      <family val="2"/>
      <charset val="1"/>
    </font>
    <font>
      <b/>
      <sz val="20"/>
      <color rgb="FFFFFFFF"/>
      <name val="Calibri"/>
      <family val="2"/>
      <charset val="1"/>
    </font>
    <font>
      <b/>
      <sz val="11"/>
      <color rgb="FF1F3864"/>
      <name val="Arial"/>
    </font>
    <font>
      <b/>
      <sz val="13"/>
      <color rgb="FF000000"/>
      <name val="Arial"/>
    </font>
    <font>
      <sz val="8"/>
      <color rgb="FF000000"/>
      <name val="Arial"/>
    </font>
  </fonts>
  <fills count="30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7F7F7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/>
      <diagonal/>
    </border>
    <border>
      <left style="medium">
        <color rgb="FF1F3864"/>
      </left>
      <right style="medium">
        <color rgb="FF1F3864"/>
      </right>
      <top/>
      <bottom style="dotted">
        <color rgb="FFA6A6A6"/>
      </bottom>
      <diagonal/>
    </border>
    <border>
      <left style="medium">
        <color rgb="FF1F3864"/>
      </left>
      <right style="medium">
        <color rgb="FF1F3864"/>
      </right>
      <top style="dotted">
        <color rgb="FFA6A6A6"/>
      </top>
      <bottom/>
      <diagonal/>
    </border>
    <border>
      <left style="medium">
        <color rgb="FF1F3864"/>
      </left>
      <right style="medium">
        <color rgb="FF1F3864"/>
      </right>
      <top/>
      <bottom style="medium">
        <color rgb="FF1F3864"/>
      </bottom>
      <diagonal/>
    </border>
    <border>
      <left style="medium">
        <color rgb="FF1F3864"/>
      </left>
      <right style="medium">
        <color rgb="FF1F3864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1F3864"/>
      </left>
      <right/>
      <top style="thin">
        <color rgb="FF1F3864"/>
      </top>
      <bottom style="dotted">
        <color rgb="FFA6A6A6"/>
      </bottom>
      <diagonal/>
    </border>
    <border>
      <left/>
      <right/>
      <top style="thin">
        <color rgb="FF1F3864"/>
      </top>
      <bottom style="dotted">
        <color rgb="FFA6A6A6"/>
      </bottom>
      <diagonal/>
    </border>
    <border>
      <left/>
      <right style="thin">
        <color rgb="FF1F3864"/>
      </right>
      <top style="thin">
        <color rgb="FF1F3864"/>
      </top>
      <bottom style="dotted">
        <color rgb="FFA6A6A6"/>
      </bottom>
      <diagonal/>
    </border>
    <border>
      <left style="thin">
        <color rgb="FF1F3864"/>
      </left>
      <right/>
      <top style="dotted">
        <color rgb="FFA6A6A6"/>
      </top>
      <bottom style="thin">
        <color rgb="FF1F3864"/>
      </bottom>
      <diagonal/>
    </border>
    <border>
      <left/>
      <right/>
      <top style="dotted">
        <color rgb="FFA6A6A6"/>
      </top>
      <bottom style="thin">
        <color rgb="FF1F3864"/>
      </bottom>
      <diagonal/>
    </border>
    <border>
      <left/>
      <right style="thin">
        <color rgb="FF1F3864"/>
      </right>
      <top style="dotted">
        <color rgb="FFA6A6A6"/>
      </top>
      <bottom style="thin">
        <color rgb="FF1F3864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25" fillId="0" borderId="0" xfId="0" applyFont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0" fontId="27" fillId="18" borderId="0" xfId="0" applyFont="1" applyFill="1"/>
    <xf numFmtId="166" fontId="31" fillId="0" borderId="6" xfId="0" applyNumberFormat="1" applyFont="1" applyBorder="1" applyAlignment="1">
      <alignment horizontal="right" vertical="center"/>
    </xf>
    <xf numFmtId="0" fontId="32" fillId="0" borderId="7" xfId="0" applyFont="1" applyBorder="1" applyAlignment="1">
      <alignment horizontal="left" vertical="top" wrapText="1"/>
    </xf>
    <xf numFmtId="0" fontId="25" fillId="0" borderId="7" xfId="0" applyFont="1" applyBorder="1"/>
    <xf numFmtId="0" fontId="25" fillId="0" borderId="8" xfId="0" applyFont="1" applyBorder="1"/>
    <xf numFmtId="0" fontId="25" fillId="0" borderId="9" xfId="0" applyFont="1" applyBorder="1"/>
    <xf numFmtId="0" fontId="25" fillId="0" borderId="10" xfId="0" applyFont="1" applyBorder="1"/>
    <xf numFmtId="166" fontId="31" fillId="0" borderId="10" xfId="0" applyNumberFormat="1" applyFont="1" applyBorder="1" applyAlignment="1">
      <alignment horizontal="right" vertical="center"/>
    </xf>
    <xf numFmtId="0" fontId="30" fillId="28" borderId="5" xfId="0" applyFont="1" applyFill="1" applyBorder="1" applyAlignment="1">
      <alignment horizontal="center" vertical="center"/>
    </xf>
    <xf numFmtId="0" fontId="30" fillId="25" borderId="5" xfId="0" applyFont="1" applyFill="1" applyBorder="1" applyAlignment="1">
      <alignment horizontal="center" vertical="center"/>
    </xf>
    <xf numFmtId="0" fontId="25" fillId="29" borderId="7" xfId="0" applyFont="1" applyFill="1" applyBorder="1"/>
    <xf numFmtId="0" fontId="25" fillId="29" borderId="8" xfId="0" applyFont="1" applyFill="1" applyBorder="1"/>
    <xf numFmtId="0" fontId="25" fillId="29" borderId="10" xfId="0" applyFont="1" applyFill="1" applyBorder="1"/>
    <xf numFmtId="0" fontId="25" fillId="29" borderId="9" xfId="0" applyFont="1" applyFill="1" applyBorder="1"/>
    <xf numFmtId="0" fontId="26" fillId="16" borderId="12" xfId="0" applyFont="1" applyFill="1" applyBorder="1" applyAlignment="1">
      <alignment horizontal="center" vertical="center"/>
    </xf>
    <xf numFmtId="0" fontId="26" fillId="14" borderId="12" xfId="0" applyFont="1" applyFill="1" applyBorder="1" applyAlignment="1">
      <alignment horizontal="center" vertical="center"/>
    </xf>
    <xf numFmtId="0" fontId="26" fillId="21" borderId="1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22" borderId="11" xfId="0" applyFont="1" applyFill="1" applyBorder="1" applyAlignment="1">
      <alignment horizontal="center" vertical="center"/>
    </xf>
    <xf numFmtId="0" fontId="26" fillId="20" borderId="11" xfId="0" applyFont="1" applyFill="1" applyBorder="1" applyAlignment="1">
      <alignment horizontal="center" vertical="center"/>
    </xf>
    <xf numFmtId="0" fontId="25" fillId="0" borderId="13" xfId="0" applyFont="1" applyBorder="1"/>
    <xf numFmtId="0" fontId="25" fillId="0" borderId="14" xfId="0" applyFont="1" applyBorder="1"/>
    <xf numFmtId="0" fontId="25" fillId="0" borderId="15" xfId="0" applyFont="1" applyBorder="1"/>
    <xf numFmtId="0" fontId="25" fillId="0" borderId="16" xfId="0" applyFont="1" applyBorder="1"/>
    <xf numFmtId="0" fontId="25" fillId="0" borderId="17" xfId="0" applyFont="1" applyBorder="1"/>
    <xf numFmtId="0" fontId="25" fillId="0" borderId="18" xfId="0" applyFont="1" applyBorder="1"/>
    <xf numFmtId="0" fontId="28" fillId="26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0" fillId="20" borderId="1" xfId="0" applyFill="1" applyBorder="1"/>
    <xf numFmtId="0" fontId="0" fillId="17" borderId="1" xfId="0" applyFill="1" applyBorder="1"/>
  </cellXfs>
  <cellStyles count="1">
    <cellStyle name="Κανονικό" xfId="0" builtinId="0"/>
  </cellStyles>
  <dxfs count="45"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EDEDED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 patternType="solid">
          <fgColor indexed="64"/>
          <bgColor rgb="FFA9CDEB"/>
        </patternFill>
      </fill>
    </dxf>
    <dxf>
      <fill>
        <patternFill patternType="solid">
          <fgColor indexed="64"/>
          <bgColor rgb="FFF9C08A"/>
        </patternFill>
      </fill>
    </dxf>
    <dxf>
      <fill>
        <patternFill patternType="solid">
          <fgColor indexed="64"/>
          <bgColor rgb="FFD0CECE"/>
        </patternFill>
      </fill>
    </dxf>
    <dxf>
      <fill>
        <patternFill patternType="solid">
          <fgColor indexed="64"/>
          <bgColor rgb="FFB7DE9C"/>
        </patternFill>
      </fill>
    </dxf>
    <dxf>
      <fill>
        <patternFill patternType="solid">
          <fgColor indexed="64"/>
          <bgColor rgb="FFFFE08A"/>
        </patternFill>
      </fill>
    </dxf>
    <dxf>
      <fill>
        <patternFill patternType="solid">
          <fgColor indexed="64"/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C4B5DC"/>
        </patternFill>
      </fill>
    </dxf>
    <dxf>
      <fill>
        <patternFill patternType="solid">
          <fgColor indexed="64"/>
          <bgColor rgb="FF9FD8CE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91" t="s">
        <v>0</v>
      </c>
      <c r="B1" s="91"/>
    </row>
    <row r="3" spans="1:2" ht="15.6" x14ac:dyDescent="0.3">
      <c r="A3" s="2" t="s">
        <v>1</v>
      </c>
      <c r="B3" s="3">
        <v>2026</v>
      </c>
    </row>
    <row r="4" spans="1:2" x14ac:dyDescent="0.3">
      <c r="A4" s="92" t="s">
        <v>2</v>
      </c>
      <c r="B4" s="92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88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91</v>
      </c>
      <c r="B10" s="56" t="s">
        <v>125</v>
      </c>
    </row>
    <row r="11" spans="1:2" x14ac:dyDescent="0.3">
      <c r="A11" s="46"/>
      <c r="B11" s="46"/>
    </row>
    <row r="12" spans="1:2" x14ac:dyDescent="0.3">
      <c r="A12" s="47" t="s">
        <v>92</v>
      </c>
      <c r="B12" s="48"/>
    </row>
    <row r="13" spans="1:2" ht="27.6" x14ac:dyDescent="0.3">
      <c r="A13" s="49" t="s">
        <v>93</v>
      </c>
      <c r="B13" s="50" t="s">
        <v>94</v>
      </c>
    </row>
    <row r="14" spans="1:2" ht="27.6" x14ac:dyDescent="0.3">
      <c r="A14" s="49" t="s">
        <v>95</v>
      </c>
      <c r="B14" s="50" t="s">
        <v>96</v>
      </c>
    </row>
    <row r="15" spans="1:2" ht="27.6" x14ac:dyDescent="0.3">
      <c r="A15" s="49" t="s">
        <v>97</v>
      </c>
      <c r="B15" s="50" t="s">
        <v>98</v>
      </c>
    </row>
    <row r="16" spans="1:2" ht="41.4" x14ac:dyDescent="0.3">
      <c r="A16" s="49" t="s">
        <v>99</v>
      </c>
      <c r="B16" s="50" t="s">
        <v>100</v>
      </c>
    </row>
    <row r="17" spans="1:2" ht="41.4" x14ac:dyDescent="0.3">
      <c r="A17" s="49" t="s">
        <v>101</v>
      </c>
      <c r="B17" s="50" t="s">
        <v>102</v>
      </c>
    </row>
    <row r="18" spans="1:2" x14ac:dyDescent="0.3">
      <c r="A18" s="49"/>
      <c r="B18" s="50"/>
    </row>
    <row r="19" spans="1:2" x14ac:dyDescent="0.3">
      <c r="A19" s="47" t="s">
        <v>103</v>
      </c>
      <c r="B19" s="48"/>
    </row>
    <row r="20" spans="1:2" ht="27.6" x14ac:dyDescent="0.3">
      <c r="A20" s="49" t="s">
        <v>104</v>
      </c>
      <c r="B20" s="50" t="s">
        <v>105</v>
      </c>
    </row>
    <row r="21" spans="1:2" ht="27.6" x14ac:dyDescent="0.3">
      <c r="A21" s="49" t="s">
        <v>106</v>
      </c>
      <c r="B21" s="50" t="s">
        <v>107</v>
      </c>
    </row>
    <row r="22" spans="1:2" ht="27.6" x14ac:dyDescent="0.3">
      <c r="A22" s="49" t="s">
        <v>108</v>
      </c>
      <c r="B22" s="50" t="s">
        <v>109</v>
      </c>
    </row>
    <row r="23" spans="1:2" ht="41.4" x14ac:dyDescent="0.3">
      <c r="A23" s="49" t="s">
        <v>110</v>
      </c>
      <c r="B23" s="50" t="s">
        <v>111</v>
      </c>
    </row>
    <row r="24" spans="1:2" ht="27.6" x14ac:dyDescent="0.3">
      <c r="A24" s="49" t="s">
        <v>112</v>
      </c>
      <c r="B24" s="50" t="s">
        <v>113</v>
      </c>
    </row>
    <row r="25" spans="1:2" ht="27.6" x14ac:dyDescent="0.3">
      <c r="A25" s="49" t="s">
        <v>114</v>
      </c>
      <c r="B25" s="50" t="s">
        <v>115</v>
      </c>
    </row>
    <row r="26" spans="1:2" ht="27.6" x14ac:dyDescent="0.3">
      <c r="A26" s="49" t="s">
        <v>116</v>
      </c>
      <c r="B26" s="50" t="s">
        <v>117</v>
      </c>
    </row>
    <row r="27" spans="1:2" ht="27.6" x14ac:dyDescent="0.3">
      <c r="A27" s="51" t="s">
        <v>118</v>
      </c>
      <c r="B27" s="52" t="s">
        <v>119</v>
      </c>
    </row>
    <row r="28" spans="1:2" x14ac:dyDescent="0.3">
      <c r="A28" s="49"/>
      <c r="B28" s="50"/>
    </row>
    <row r="29" spans="1:2" x14ac:dyDescent="0.3">
      <c r="A29" s="47" t="s">
        <v>120</v>
      </c>
      <c r="B29" s="48"/>
    </row>
    <row r="30" spans="1:2" ht="41.4" x14ac:dyDescent="0.3">
      <c r="A30" s="49" t="s">
        <v>121</v>
      </c>
      <c r="B30" s="50" t="s">
        <v>122</v>
      </c>
    </row>
    <row r="31" spans="1:2" ht="28.8" x14ac:dyDescent="0.3">
      <c r="A31" s="53" t="s">
        <v>123</v>
      </c>
      <c r="B31" s="54" t="s">
        <v>124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41.4" x14ac:dyDescent="0.3">
      <c r="A38" s="6" t="s">
        <v>18</v>
      </c>
      <c r="B38" s="6" t="s">
        <v>137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00"/>
    </row>
    <row r="9" spans="1:2" x14ac:dyDescent="0.3">
      <c r="A9" s="17" t="s">
        <v>32</v>
      </c>
      <c r="B9" s="101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9"/>
  <sheetViews>
    <sheetView zoomScaleNormal="100" workbookViewId="0">
      <pane ySplit="1" topLeftCell="A2" activePane="bottomLeft" state="frozen"/>
      <selection pane="bottomLeft" activeCell="D7" sqref="D7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ht="27.6" x14ac:dyDescent="0.3">
      <c r="A2" s="19">
        <v>46276</v>
      </c>
      <c r="B2" s="20"/>
      <c r="C2" s="21" t="s">
        <v>45</v>
      </c>
      <c r="D2" s="21" t="s">
        <v>26</v>
      </c>
      <c r="E2" s="21"/>
      <c r="F2" s="21"/>
      <c r="G2" s="21"/>
      <c r="H2" s="22" t="str">
        <f t="shared" ref="H2:H65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5" si="1">IF($A2="","",IF($B2="","",$B2&amp;"  ")&amp;$C2&amp;IF($E2="","","  ("&amp;$E2&amp;")"))</f>
        <v>Αγιασμός – Έναρξη σχολικού έτους. Διαμοιρασμός σε τμήματα.</v>
      </c>
    </row>
    <row r="3" spans="1:10" x14ac:dyDescent="0.3">
      <c r="A3" s="19">
        <v>46279</v>
      </c>
      <c r="B3" s="20"/>
      <c r="C3" s="21" t="s">
        <v>46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ht="27.6" x14ac:dyDescent="0.3">
      <c r="A4" s="19">
        <v>46321</v>
      </c>
      <c r="B4" s="20"/>
      <c r="C4" s="21" t="s">
        <v>47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 – τοπική αργία</v>
      </c>
    </row>
    <row r="5" spans="1:10" ht="27.6" x14ac:dyDescent="0.3">
      <c r="A5" s="19">
        <v>46322</v>
      </c>
      <c r="B5" s="20"/>
      <c r="C5" s="21" t="s">
        <v>48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 (χωρίς μάθημα)</v>
      </c>
    </row>
    <row r="6" spans="1:10" x14ac:dyDescent="0.3">
      <c r="A6" s="19">
        <v>46323</v>
      </c>
      <c r="B6" s="20"/>
      <c r="C6" s="21" t="s">
        <v>49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x14ac:dyDescent="0.3">
      <c r="A7" s="19">
        <v>46330</v>
      </c>
      <c r="B7" s="20" t="s">
        <v>50</v>
      </c>
      <c r="C7" s="21" t="s">
        <v>51</v>
      </c>
      <c r="D7" s="21" t="s">
        <v>32</v>
      </c>
      <c r="E7" s="21" t="inlineStr">
        <is>
          <t>Α΄ τάξη</t>
        </is>
      </c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</v>
      </c>
    </row>
    <row r="8" spans="1:10" x14ac:dyDescent="0.3">
      <c r="A8" s="19">
        <v>46343</v>
      </c>
      <c r="B8" s="20"/>
      <c r="C8" s="21" t="s">
        <v>52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46356</v>
      </c>
      <c r="B9" s="20" t="inlineStr">
        <is>
          <t>09:00-12:30</t>
        </is>
      </c>
      <c r="C9" s="21" t="s">
        <v>139</v>
      </c>
      <c r="D9" s="21" t="s">
        <v>27</v>
      </c>
      <c r="E9" s="21" t="inlineStr">
        <is>
          <t>Γ1, Γ4</t>
        </is>
      </c>
      <c r="F9" s="21"/>
      <c r="G9" s="21"/>
      <c r="H9" s="22" t="str">
        <f t="shared" si="0"/>
        <v>Δευ</v>
      </c>
      <c r="I9" s="23" t="str">
        <f>IF($A9="","",$A9&amp;"#"&amp;COUNTIF($A$2:$A9,$A9))</f>
        <v>46356#1</v>
      </c>
      <c r="J9" s="23" t="str">
        <f t="shared" si="1"/>
        <v>09:00-12.30  Μουσείο Μακεδονικού Αγώνα και διαδραστική έκθεση Van Gogh – The Immersive Experience (ΔΕΘ Helexpo)</v>
      </c>
    </row>
    <row r="10" spans="1:10" x14ac:dyDescent="0.3">
      <c r="A10" s="19">
        <v>46379</v>
      </c>
      <c r="B10" s="20"/>
      <c r="C10" s="21" t="s">
        <v>53</v>
      </c>
      <c r="D10" s="21" t="s">
        <v>30</v>
      </c>
      <c r="E10" s="21"/>
      <c r="F10" s="21"/>
      <c r="G10" s="21"/>
      <c r="H10" s="22" t="str">
        <f t="shared" si="0"/>
        <v>Τετ</v>
      </c>
      <c r="I10" s="23" t="str">
        <f>IF($A10="","",$A10&amp;"#"&amp;COUNTIF($A$2:$A10,$A10))</f>
        <v>46379#1</v>
      </c>
      <c r="J10" s="23" t="str">
        <f t="shared" si="1"/>
        <v>Τελευταία ημέρα μαθημάτων πριν τις διακοπές</v>
      </c>
    </row>
    <row r="11" spans="1:10" x14ac:dyDescent="0.3">
      <c r="A11" s="19">
        <v>46380</v>
      </c>
      <c r="B11" s="20"/>
      <c r="C11" s="21" t="s">
        <v>54</v>
      </c>
      <c r="D11" s="21" t="s">
        <v>25</v>
      </c>
      <c r="E11" s="21"/>
      <c r="F11" s="21"/>
      <c r="G11" s="21"/>
      <c r="H11" s="22" t="str">
        <f t="shared" si="0"/>
        <v>Πέμ</v>
      </c>
      <c r="I11" s="23" t="str">
        <f>IF($A11="","",$A11&amp;"#"&amp;COUNTIF($A$2:$A11,$A11))</f>
        <v>46380#1</v>
      </c>
      <c r="J11" s="23" t="str">
        <f t="shared" si="1"/>
        <v>Διακοπές Χριστουγέννων</v>
      </c>
    </row>
    <row r="12" spans="1:10" x14ac:dyDescent="0.3">
      <c r="A12" s="19">
        <v>46381</v>
      </c>
      <c r="B12" s="20"/>
      <c r="C12" s="21" t="s">
        <v>54</v>
      </c>
      <c r="D12" s="21" t="s">
        <v>25</v>
      </c>
      <c r="E12" s="21"/>
      <c r="F12" s="21"/>
      <c r="G12" s="21"/>
      <c r="H12" s="22" t="str">
        <f t="shared" si="0"/>
        <v>Παρ</v>
      </c>
      <c r="I12" s="23" t="str">
        <f>IF($A12="","",$A12&amp;"#"&amp;COUNTIF($A$2:$A12,$A12))</f>
        <v>46381#1</v>
      </c>
      <c r="J12" s="23" t="str">
        <f t="shared" si="1"/>
        <v>Διακοπές Χριστουγέννων</v>
      </c>
    </row>
    <row r="13" spans="1:10" x14ac:dyDescent="0.3">
      <c r="A13" s="19">
        <v>46384</v>
      </c>
      <c r="B13" s="20"/>
      <c r="C13" s="21" t="s">
        <v>54</v>
      </c>
      <c r="D13" s="21" t="s">
        <v>25</v>
      </c>
      <c r="E13" s="21"/>
      <c r="F13" s="21"/>
      <c r="G13" s="21"/>
      <c r="H13" s="22" t="str">
        <f t="shared" si="0"/>
        <v>Δευ</v>
      </c>
      <c r="I13" s="23" t="str">
        <f>IF($A13="","",$A13&amp;"#"&amp;COUNTIF($A$2:$A13,$A13))</f>
        <v>46384#1</v>
      </c>
      <c r="J13" s="23" t="str">
        <f t="shared" si="1"/>
        <v>Διακοπές Χριστουγέννων</v>
      </c>
    </row>
    <row r="14" spans="1:10" x14ac:dyDescent="0.3">
      <c r="A14" s="19">
        <v>46385</v>
      </c>
      <c r="B14" s="20"/>
      <c r="C14" s="21" t="s">
        <v>54</v>
      </c>
      <c r="D14" s="21" t="s">
        <v>25</v>
      </c>
      <c r="E14" s="21"/>
      <c r="F14" s="21"/>
      <c r="G14" s="21"/>
      <c r="H14" s="22" t="str">
        <f t="shared" si="0"/>
        <v>Τρί</v>
      </c>
      <c r="I14" s="23" t="str">
        <f>IF($A14="","",$A14&amp;"#"&amp;COUNTIF($A$2:$A14,$A14))</f>
        <v>46385#1</v>
      </c>
      <c r="J14" s="23" t="str">
        <f t="shared" si="1"/>
        <v>Διακοπές Χριστουγέννων</v>
      </c>
    </row>
    <row r="15" spans="1:10" x14ac:dyDescent="0.3">
      <c r="A15" s="19">
        <v>46386</v>
      </c>
      <c r="B15" s="20"/>
      <c r="C15" s="21" t="s">
        <v>54</v>
      </c>
      <c r="D15" s="21" t="s">
        <v>25</v>
      </c>
      <c r="E15" s="21"/>
      <c r="F15" s="21"/>
      <c r="G15" s="21"/>
      <c r="H15" s="22" t="str">
        <f t="shared" si="0"/>
        <v>Τετ</v>
      </c>
      <c r="I15" s="23" t="str">
        <f>IF($A15="","",$A15&amp;"#"&amp;COUNTIF($A$2:$A15,$A15))</f>
        <v>46386#1</v>
      </c>
      <c r="J15" s="23" t="str">
        <f t="shared" si="1"/>
        <v>Διακοπές Χριστουγέννων</v>
      </c>
    </row>
    <row r="16" spans="1:10" x14ac:dyDescent="0.3">
      <c r="A16" s="19">
        <v>46387</v>
      </c>
      <c r="B16" s="20"/>
      <c r="C16" s="21" t="s">
        <v>54</v>
      </c>
      <c r="D16" s="21" t="s">
        <v>25</v>
      </c>
      <c r="E16" s="21"/>
      <c r="F16" s="21"/>
      <c r="G16" s="21"/>
      <c r="H16" s="22" t="str">
        <f t="shared" si="0"/>
        <v>Πέμ</v>
      </c>
      <c r="I16" s="23" t="str">
        <f>IF($A16="","",$A16&amp;"#"&amp;COUNTIF($A$2:$A16,$A16))</f>
        <v>46387#1</v>
      </c>
      <c r="J16" s="23" t="str">
        <f t="shared" si="1"/>
        <v>Διακοπές Χριστουγέννων</v>
      </c>
    </row>
    <row r="17" spans="1:10" x14ac:dyDescent="0.3">
      <c r="A17" s="19">
        <v>46388</v>
      </c>
      <c r="B17" s="20"/>
      <c r="C17" s="21" t="s">
        <v>54</v>
      </c>
      <c r="D17" s="21" t="s">
        <v>25</v>
      </c>
      <c r="E17" s="21"/>
      <c r="F17" s="21"/>
      <c r="G17" s="21"/>
      <c r="H17" s="22" t="str">
        <f t="shared" si="0"/>
        <v>Παρ</v>
      </c>
      <c r="I17" s="23" t="str">
        <f>IF($A17="","",$A17&amp;"#"&amp;COUNTIF($A$2:$A17,$A17))</f>
        <v>46388#1</v>
      </c>
      <c r="J17" s="23" t="str">
        <f t="shared" si="1"/>
        <v>Διακοπές Χριστουγέννων</v>
      </c>
    </row>
    <row r="18" spans="1:10" x14ac:dyDescent="0.3">
      <c r="A18" s="19">
        <v>46391</v>
      </c>
      <c r="B18" s="20"/>
      <c r="C18" s="21" t="s">
        <v>54</v>
      </c>
      <c r="D18" s="21" t="s">
        <v>25</v>
      </c>
      <c r="E18" s="21"/>
      <c r="F18" s="21"/>
      <c r="G18" s="21"/>
      <c r="H18" s="22" t="str">
        <f t="shared" si="0"/>
        <v>Δευ</v>
      </c>
      <c r="I18" s="23" t="str">
        <f>IF($A18="","",$A18&amp;"#"&amp;COUNTIF($A$2:$A18,$A18))</f>
        <v>46391#1</v>
      </c>
      <c r="J18" s="23" t="str">
        <f t="shared" si="1"/>
        <v>Διακοπές Χριστουγέννων</v>
      </c>
    </row>
    <row r="19" spans="1:10" x14ac:dyDescent="0.3">
      <c r="A19" s="19">
        <v>46392</v>
      </c>
      <c r="B19" s="20"/>
      <c r="C19" s="21" t="s">
        <v>54</v>
      </c>
      <c r="D19" s="21" t="s">
        <v>25</v>
      </c>
      <c r="E19" s="21"/>
      <c r="F19" s="21"/>
      <c r="G19" s="21"/>
      <c r="H19" s="22" t="str">
        <f t="shared" si="0"/>
        <v>Τρί</v>
      </c>
      <c r="I19" s="23" t="str">
        <f>IF($A19="","",$A19&amp;"#"&amp;COUNTIF($A$2:$A19,$A19))</f>
        <v>46392#1</v>
      </c>
      <c r="J19" s="23" t="str">
        <f t="shared" si="1"/>
        <v>Διακοπές Χριστουγέννων</v>
      </c>
    </row>
    <row r="20" spans="1:10" x14ac:dyDescent="0.3">
      <c r="A20" s="19">
        <v>46393</v>
      </c>
      <c r="B20" s="20"/>
      <c r="C20" s="21" t="s">
        <v>54</v>
      </c>
      <c r="D20" s="21" t="s">
        <v>25</v>
      </c>
      <c r="E20" s="21"/>
      <c r="F20" s="21"/>
      <c r="G20" s="21"/>
      <c r="H20" s="22" t="str">
        <f t="shared" si="0"/>
        <v>Τετ</v>
      </c>
      <c r="I20" s="23" t="str">
        <f>IF($A20="","",$A20&amp;"#"&amp;COUNTIF($A$2:$A20,$A20))</f>
        <v>46393#1</v>
      </c>
      <c r="J20" s="23" t="str">
        <f t="shared" si="1"/>
        <v>Διακοπές Χριστουγέννων</v>
      </c>
    </row>
    <row r="21" spans="1:10" x14ac:dyDescent="0.3">
      <c r="A21" s="19">
        <v>46394</v>
      </c>
      <c r="B21" s="20"/>
      <c r="C21" s="21" t="s">
        <v>54</v>
      </c>
      <c r="D21" s="21" t="s">
        <v>25</v>
      </c>
      <c r="E21" s="21"/>
      <c r="F21" s="21"/>
      <c r="G21" s="21"/>
      <c r="H21" s="22" t="str">
        <f t="shared" si="0"/>
        <v>Πέμ</v>
      </c>
      <c r="I21" s="23" t="str">
        <f>IF($A21="","",$A21&amp;"#"&amp;COUNTIF($A$2:$A21,$A21))</f>
        <v>46394#1</v>
      </c>
      <c r="J21" s="23" t="str">
        <f t="shared" si="1"/>
        <v>Διακοπές Χριστουγέννων</v>
      </c>
    </row>
    <row r="22" spans="1:10" x14ac:dyDescent="0.3">
      <c r="A22" s="19">
        <v>46395</v>
      </c>
      <c r="B22" s="20"/>
      <c r="C22" s="21" t="s">
        <v>55</v>
      </c>
      <c r="D22" s="21" t="s">
        <v>30</v>
      </c>
      <c r="E22" s="21"/>
      <c r="F22" s="21"/>
      <c r="G22" s="21"/>
      <c r="H22" s="22" t="str">
        <f t="shared" si="0"/>
        <v>Παρ</v>
      </c>
      <c r="I22" s="23" t="str">
        <f>IF($A22="","",$A22&amp;"#"&amp;COUNTIF($A$2:$A22,$A22))</f>
        <v>46395#1</v>
      </c>
      <c r="J22" s="23" t="str">
        <f t="shared" si="1"/>
        <v>Επαναλειτουργία σχολείου</v>
      </c>
    </row>
    <row r="23" spans="1:10" x14ac:dyDescent="0.3">
      <c r="A23" s="19">
        <v>46407</v>
      </c>
      <c r="B23" s="20"/>
      <c r="C23" s="21" t="s">
        <v>56</v>
      </c>
      <c r="D23" s="21" t="s">
        <v>30</v>
      </c>
      <c r="E23" s="21"/>
      <c r="F23" s="21"/>
      <c r="G23" s="21"/>
      <c r="H23" s="22" t="str">
        <f t="shared" si="0"/>
        <v>Τετ</v>
      </c>
      <c r="I23" s="23" t="str">
        <f>IF($A23="","",$A23&amp;"#"&amp;COUNTIF($A$2:$A23,$A23))</f>
        <v>46407#1</v>
      </c>
      <c r="J23" s="23" t="str">
        <f t="shared" si="1"/>
        <v>Λήξη Α΄ τετραμήνου (εκτίμηση – εκκρεμεί εγκύκλιος)</v>
      </c>
    </row>
    <row r="24" spans="1:10" x14ac:dyDescent="0.3">
      <c r="A24" s="19">
        <v>46417</v>
      </c>
      <c r="B24" s="20"/>
      <c r="C24" s="21" t="s">
        <v>57</v>
      </c>
      <c r="D24" s="21" t="s">
        <v>26</v>
      </c>
      <c r="E24" s="21"/>
      <c r="F24" s="21"/>
      <c r="G24" s="21"/>
      <c r="H24" s="22" t="str">
        <f t="shared" si="0"/>
        <v>Σάβ</v>
      </c>
      <c r="I24" s="23" t="str">
        <f>IF($A24="","",$A24&amp;"#"&amp;COUNTIF($A$2:$A24,$A24))</f>
        <v>46417#1</v>
      </c>
      <c r="J24" s="23" t="str">
        <f t="shared" si="1"/>
        <v>Εορτή Τριών Ιεραρχών (πέφτει Σάββατο)</v>
      </c>
    </row>
    <row r="25" spans="1:10" x14ac:dyDescent="0.3">
      <c r="A25" s="19">
        <v>46461</v>
      </c>
      <c r="B25" s="20"/>
      <c r="C25" s="21" t="s">
        <v>58</v>
      </c>
      <c r="D25" s="21" t="s">
        <v>25</v>
      </c>
      <c r="E25" s="21"/>
      <c r="F25" s="21"/>
      <c r="G25" s="21"/>
      <c r="H25" s="22" t="str">
        <f t="shared" si="0"/>
        <v>Δευ</v>
      </c>
      <c r="I25" s="23" t="str">
        <f>IF($A25="","",$A25&amp;"#"&amp;COUNTIF($A$2:$A25,$A25))</f>
        <v>46461#1</v>
      </c>
      <c r="J25" s="23" t="str">
        <f t="shared" si="1"/>
        <v>Καθαρά Δευτέρα – Αργία</v>
      </c>
    </row>
    <row r="26" spans="1:10" x14ac:dyDescent="0.3">
      <c r="A26" s="19">
        <v>46470</v>
      </c>
      <c r="B26" s="20"/>
      <c r="C26" s="21" t="s">
        <v>59</v>
      </c>
      <c r="D26" s="21" t="s">
        <v>26</v>
      </c>
      <c r="E26" s="21"/>
      <c r="F26" s="21"/>
      <c r="G26" s="21"/>
      <c r="H26" s="22" t="str">
        <f t="shared" si="0"/>
        <v>Τετ</v>
      </c>
      <c r="I26" s="23" t="str">
        <f>IF($A26="","",$A26&amp;"#"&amp;COUNTIF($A$2:$A26,$A26))</f>
        <v>46470#1</v>
      </c>
      <c r="J26" s="23" t="str">
        <f t="shared" si="1"/>
        <v>Σχολική εορτή για την 25η Μαρτίου</v>
      </c>
    </row>
    <row r="27" spans="1:10" x14ac:dyDescent="0.3">
      <c r="A27" s="19">
        <v>46471</v>
      </c>
      <c r="B27" s="20"/>
      <c r="C27" s="21" t="s">
        <v>60</v>
      </c>
      <c r="D27" s="21" t="s">
        <v>25</v>
      </c>
      <c r="E27" s="21"/>
      <c r="F27" s="21"/>
      <c r="G27" s="21"/>
      <c r="H27" s="22" t="str">
        <f t="shared" si="0"/>
        <v>Πέμ</v>
      </c>
      <c r="I27" s="23" t="str">
        <f>IF($A27="","",$A27&amp;"#"&amp;COUNTIF($A$2:$A27,$A27))</f>
        <v>46471#1</v>
      </c>
      <c r="J27" s="23" t="str">
        <f t="shared" si="1"/>
        <v>Εθνική επέτειος 25ης Μαρτίου – Αργία</v>
      </c>
    </row>
    <row r="28" spans="1:10" x14ac:dyDescent="0.3">
      <c r="A28" s="19">
        <v>46493</v>
      </c>
      <c r="B28" s="20" t="s">
        <v>140</v>
      </c>
      <c r="C28" s="21" t="s">
        <v>141</v>
      </c>
      <c r="D28" s="21" t="s">
        <v>32</v>
      </c>
      <c r="E28" s="21" t="s">
        <v>142</v>
      </c>
      <c r="F28" s="21"/>
      <c r="G28" s="21"/>
      <c r="H28" s="22" t="str">
        <f t="shared" si="0"/>
        <v>Παρ</v>
      </c>
      <c r="I28" s="23" t="str">
        <f>IF($A28="","",$A28&amp;"#"&amp;COUNTIF($A$2:$A28,$A28))</f>
        <v>46493#1</v>
      </c>
      <c r="J28" s="23" t="str">
        <f t="shared" si="1"/>
        <v>2η–3η ώρα / 4η–5η ώρα  Α΄ τάξη: Επιμορφωτική δράση από «Το Χαμόγελο του Παιδιού»  (Α1, Α2 / Α3)</v>
      </c>
    </row>
    <row r="29" spans="1:10" x14ac:dyDescent="0.3">
      <c r="A29" s="19">
        <v>46503</v>
      </c>
      <c r="B29" s="20"/>
      <c r="C29" s="21" t="s">
        <v>61</v>
      </c>
      <c r="D29" s="21" t="s">
        <v>25</v>
      </c>
      <c r="E29" s="21"/>
      <c r="F29" s="21"/>
      <c r="G29" s="21"/>
      <c r="H29" s="22" t="str">
        <f t="shared" si="0"/>
        <v>Δευ</v>
      </c>
      <c r="I29" s="23" t="str">
        <f>IF($A29="","",$A29&amp;"#"&amp;COUNTIF($A$2:$A29,$A29))</f>
        <v>46503#1</v>
      </c>
      <c r="J29" s="23" t="str">
        <f t="shared" si="1"/>
        <v>Διακοπές Πάσχα</v>
      </c>
    </row>
    <row r="30" spans="1:10" x14ac:dyDescent="0.3">
      <c r="A30" s="19">
        <v>46504</v>
      </c>
      <c r="B30" s="20"/>
      <c r="C30" s="21" t="s">
        <v>61</v>
      </c>
      <c r="D30" s="21" t="s">
        <v>25</v>
      </c>
      <c r="E30" s="21"/>
      <c r="F30" s="21"/>
      <c r="G30" s="21"/>
      <c r="H30" s="22" t="str">
        <f t="shared" si="0"/>
        <v>Τρί</v>
      </c>
      <c r="I30" s="23" t="str">
        <f>IF($A30="","",$A30&amp;"#"&amp;COUNTIF($A$2:$A30,$A30))</f>
        <v>46504#1</v>
      </c>
      <c r="J30" s="23" t="str">
        <f t="shared" si="1"/>
        <v>Διακοπές Πάσχα</v>
      </c>
    </row>
    <row r="31" spans="1:10" x14ac:dyDescent="0.3">
      <c r="A31" s="19">
        <v>46505</v>
      </c>
      <c r="B31" s="20"/>
      <c r="C31" s="21" t="s">
        <v>61</v>
      </c>
      <c r="D31" s="21" t="s">
        <v>25</v>
      </c>
      <c r="E31" s="21"/>
      <c r="F31" s="21"/>
      <c r="G31" s="21"/>
      <c r="H31" s="22" t="str">
        <f t="shared" si="0"/>
        <v>Τετ</v>
      </c>
      <c r="I31" s="23" t="str">
        <f>IF($A31="","",$A31&amp;"#"&amp;COUNTIF($A$2:$A31,$A31))</f>
        <v>46505#1</v>
      </c>
      <c r="J31" s="23" t="str">
        <f t="shared" si="1"/>
        <v>Διακοπές Πάσχα</v>
      </c>
    </row>
    <row r="32" spans="1:10" x14ac:dyDescent="0.3">
      <c r="A32" s="19">
        <v>46506</v>
      </c>
      <c r="B32" s="20"/>
      <c r="C32" s="21" t="s">
        <v>61</v>
      </c>
      <c r="D32" s="21" t="s">
        <v>25</v>
      </c>
      <c r="E32" s="21"/>
      <c r="F32" s="21"/>
      <c r="G32" s="21"/>
      <c r="H32" s="22" t="str">
        <f t="shared" si="0"/>
        <v>Πέμ</v>
      </c>
      <c r="I32" s="23" t="str">
        <f>IF($A32="","",$A32&amp;"#"&amp;COUNTIF($A$2:$A32,$A32))</f>
        <v>46506#1</v>
      </c>
      <c r="J32" s="23" t="str">
        <f t="shared" si="1"/>
        <v>Διακοπές Πάσχα</v>
      </c>
    </row>
    <row r="33" spans="1:10" x14ac:dyDescent="0.3">
      <c r="A33" s="19">
        <v>46507</v>
      </c>
      <c r="B33" s="20"/>
      <c r="C33" s="21" t="s">
        <v>61</v>
      </c>
      <c r="D33" s="21" t="s">
        <v>25</v>
      </c>
      <c r="E33" s="21"/>
      <c r="F33" s="21"/>
      <c r="G33" s="21"/>
      <c r="H33" s="22" t="str">
        <f t="shared" si="0"/>
        <v>Παρ</v>
      </c>
      <c r="I33" s="23" t="str">
        <f>IF($A33="","",$A33&amp;"#"&amp;COUNTIF($A$2:$A33,$A33))</f>
        <v>46507#1</v>
      </c>
      <c r="J33" s="23" t="str">
        <f t="shared" si="1"/>
        <v>Διακοπές Πάσχα</v>
      </c>
    </row>
    <row r="34" spans="1:10" x14ac:dyDescent="0.3">
      <c r="A34" s="19">
        <v>46510</v>
      </c>
      <c r="B34" s="20"/>
      <c r="C34" s="21" t="s">
        <v>61</v>
      </c>
      <c r="D34" s="21" t="s">
        <v>25</v>
      </c>
      <c r="E34" s="21"/>
      <c r="F34" s="21"/>
      <c r="G34" s="21"/>
      <c r="H34" s="22" t="str">
        <f t="shared" si="0"/>
        <v>Δευ</v>
      </c>
      <c r="I34" s="23" t="str">
        <f>IF($A34="","",$A34&amp;"#"&amp;COUNTIF($A$2:$A34,$A34))</f>
        <v>46510#1</v>
      </c>
      <c r="J34" s="23" t="str">
        <f t="shared" si="1"/>
        <v>Διακοπές Πάσχα</v>
      </c>
    </row>
    <row r="35" spans="1:10" x14ac:dyDescent="0.3">
      <c r="A35" s="19">
        <v>46511</v>
      </c>
      <c r="B35" s="20"/>
      <c r="C35" s="21" t="s">
        <v>61</v>
      </c>
      <c r="D35" s="21" t="s">
        <v>25</v>
      </c>
      <c r="E35" s="21"/>
      <c r="F35" s="21"/>
      <c r="G35" s="21"/>
      <c r="H35" s="22" t="str">
        <f t="shared" si="0"/>
        <v>Τρί</v>
      </c>
      <c r="I35" s="23" t="str">
        <f>IF($A35="","",$A35&amp;"#"&amp;COUNTIF($A$2:$A35,$A35))</f>
        <v>46511#1</v>
      </c>
      <c r="J35" s="23" t="str">
        <f t="shared" si="1"/>
        <v>Διακοπές Πάσχα</v>
      </c>
    </row>
    <row r="36" spans="1:10" x14ac:dyDescent="0.3">
      <c r="A36" s="19">
        <v>46512</v>
      </c>
      <c r="B36" s="20"/>
      <c r="C36" s="21" t="s">
        <v>61</v>
      </c>
      <c r="D36" s="21" t="s">
        <v>25</v>
      </c>
      <c r="E36" s="21"/>
      <c r="F36" s="21"/>
      <c r="G36" s="21"/>
      <c r="H36" s="22" t="str">
        <f t="shared" si="0"/>
        <v>Τετ</v>
      </c>
      <c r="I36" s="23" t="str">
        <f>IF($A36="","",$A36&amp;"#"&amp;COUNTIF($A$2:$A36,$A36))</f>
        <v>46512#1</v>
      </c>
      <c r="J36" s="23" t="str">
        <f t="shared" si="1"/>
        <v>Διακοπές Πάσχα</v>
      </c>
    </row>
    <row r="37" spans="1:10" x14ac:dyDescent="0.3">
      <c r="A37" s="19">
        <v>46513</v>
      </c>
      <c r="B37" s="20"/>
      <c r="C37" s="21" t="s">
        <v>61</v>
      </c>
      <c r="D37" s="21" t="s">
        <v>25</v>
      </c>
      <c r="E37" s="21"/>
      <c r="F37" s="21"/>
      <c r="G37" s="21"/>
      <c r="H37" s="22" t="str">
        <f t="shared" si="0"/>
        <v>Πέμ</v>
      </c>
      <c r="I37" s="23" t="str">
        <f>IF($A37="","",$A37&amp;"#"&amp;COUNTIF($A$2:$A37,$A37))</f>
        <v>46513#1</v>
      </c>
      <c r="J37" s="23" t="str">
        <f t="shared" si="1"/>
        <v>Διακοπές Πάσχα</v>
      </c>
    </row>
    <row r="38" spans="1:10" x14ac:dyDescent="0.3">
      <c r="A38" s="19">
        <v>46514</v>
      </c>
      <c r="B38" s="20"/>
      <c r="C38" s="21" t="s">
        <v>61</v>
      </c>
      <c r="D38" s="21" t="s">
        <v>25</v>
      </c>
      <c r="E38" s="21"/>
      <c r="F38" s="21"/>
      <c r="G38" s="21"/>
      <c r="H38" s="22" t="str">
        <f t="shared" si="0"/>
        <v>Παρ</v>
      </c>
      <c r="I38" s="23" t="str">
        <f>IF($A38="","",$A38&amp;"#"&amp;COUNTIF($A$2:$A38,$A38))</f>
        <v>46514#1</v>
      </c>
      <c r="J38" s="23" t="str">
        <f t="shared" si="1"/>
        <v>Διακοπές Πάσχα</v>
      </c>
    </row>
    <row r="39" spans="1:10" x14ac:dyDescent="0.3">
      <c r="A39" s="19">
        <v>46517</v>
      </c>
      <c r="B39" s="20"/>
      <c r="C39" s="21" t="s">
        <v>62</v>
      </c>
      <c r="D39" s="21" t="s">
        <v>30</v>
      </c>
      <c r="E39" s="21"/>
      <c r="F39" s="21"/>
      <c r="G39" s="21"/>
      <c r="H39" s="22" t="str">
        <f t="shared" si="0"/>
        <v>Δευ</v>
      </c>
      <c r="I39" s="23" t="str">
        <f>IF($A39="","",$A39&amp;"#"&amp;COUNTIF($A$2:$A39,$A39))</f>
        <v>46517#1</v>
      </c>
      <c r="J39" s="23" t="str">
        <f t="shared" si="1"/>
        <v>Επαναλειτουργία σχολείου μετά το Πάσχα (εκτίμηση)</v>
      </c>
    </row>
    <row r="40" spans="1:10" x14ac:dyDescent="0.3">
      <c r="A40" s="19">
        <v>46559</v>
      </c>
      <c r="B40" s="20"/>
      <c r="C40" s="21" t="s">
        <v>63</v>
      </c>
      <c r="D40" s="21" t="s">
        <v>25</v>
      </c>
      <c r="E40" s="21"/>
      <c r="F40" s="21"/>
      <c r="G40" s="21"/>
      <c r="H40" s="22" t="str">
        <f t="shared" si="0"/>
        <v>Δευ</v>
      </c>
      <c r="I40" s="23" t="str">
        <f>IF($A40="","",$A40&amp;"#"&amp;COUNTIF($A$2:$A40,$A40))</f>
        <v>46559#1</v>
      </c>
      <c r="J40" s="23" t="str">
        <f t="shared" si="1"/>
        <v>Αγίου Πνεύματος – Αργία</v>
      </c>
    </row>
    <row r="41" spans="1:10" x14ac:dyDescent="0.3">
      <c r="A41" s="19">
        <v>46568</v>
      </c>
      <c r="B41" s="20"/>
      <c r="C41" s="21" t="s">
        <v>64</v>
      </c>
      <c r="D41" s="21" t="s">
        <v>30</v>
      </c>
      <c r="E41" s="21"/>
      <c r="F41" s="21"/>
      <c r="G41" s="21"/>
      <c r="H41" s="22" t="str">
        <f t="shared" si="0"/>
        <v>Τετ</v>
      </c>
      <c r="I41" s="23" t="str">
        <f>IF($A41="","",$A41&amp;"#"&amp;COUNTIF($A$2:$A41,$A41))</f>
        <v>46568#1</v>
      </c>
      <c r="J41" s="23" t="str">
        <f t="shared" si="1"/>
        <v>Λήξη διδακτικού έτους</v>
      </c>
    </row>
    <row r="42" spans="1:10" x14ac:dyDescent="0.3">
      <c r="A42" s="19">
        <v>46349</v>
      </c>
      <c r="B42" s="20" t="s">
        <v>143</v>
      </c>
      <c r="C42" s="21" t="s">
        <v>144</v>
      </c>
      <c r="D42" s="21" t="s">
        <v>27</v>
      </c>
      <c r="E42" s="21" t="inlineStr">
        <is>
          <t>Γ2, Γ3</t>
        </is>
      </c>
      <c r="F42" s="21"/>
      <c r="G42" s="21"/>
      <c r="H42" s="22" t="str">
        <f t="shared" si="0"/>
        <v>Δευ</v>
      </c>
      <c r="I42" s="23" t="str">
        <f>IF($A42="","",$A42&amp;"#"&amp;COUNTIF($A$2:$A42,$A42))</f>
        <v>46349#1</v>
      </c>
      <c r="J42" s="23" t="str">
        <f t="shared" si="1"/>
        <v>08:00-14:10  Επίσκεψη στο Σπήλαιο Αλιστράτης και στο ΚΠΕ Ποροΐων</v>
      </c>
    </row>
    <row r="43" spans="1:10" x14ac:dyDescent="0.3">
      <c r="A43" s="19">
        <v>46311</v>
      </c>
      <c r="B43" s="20" t="inlineStr">
        <is>
          <t xml:space="preserve">09:50-10:55</t>
        </is>
      </c>
      <c r="C43" s="21" t="inlineStr">
        <is>
          <t xml:space="preserve">Παγκόσμια Ημέρα Επανεκκίνησης Καρδιάς – «Kids Save Lives»</t>
        </is>
      </c>
      <c r="D43" s="21" t="inlineStr">
        <is>
          <t xml:space="preserve">Δράση / Πρόγραμμα / Όμιλος</t>
        </is>
      </c>
      <c r="E43" s="21" t="inlineStr">
        <is>
          <t xml:space="preserve">Ομάδες μαθητών από διάφορα τμήματα</t>
        </is>
      </c>
      <c r="F43" s="21" t="inlineStr">
        <is>
          <t xml:space="preserve">Βασιλακοπούλου, Κανοπούλου</t>
        </is>
      </c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>
        <v>46327</v>
      </c>
      <c r="B44" s="20"/>
      <c r="C44" s="21" t="inlineStr">
        <is>
          <t xml:space="preserve">Momus – Λαδάδικα – Μοδιάνο (όμιλος «Ψηφιακή Ταυτότητα με Τεχνητή Νοημοσύνη»)</t>
        </is>
      </c>
      <c r="D44" s="21" t="inlineStr">
        <is>
          <t xml:space="preserve">Εκδρομή / Επίσκεψη / Περίπατος</t>
        </is>
      </c>
      <c r="E44" s="21" t="inlineStr">
        <is>
          <t xml:space="preserve">Ομάδα του ομίλου</t>
        </is>
      </c>
      <c r="F44" s="21" t="inlineStr">
        <is>
          <t xml:space="preserve">Πασσαλίδης Αλέξανδρος</t>
        </is>
      </c>
      <c r="G44" s="21" t="inlineStr">
        <is>
          <t xml:space="preserve">Ενδεικτικά: Νοέμβριος – Δεκέμβριος 2026 · η ακριβής ημερομηνία θα ανακοινωθεί</t>
        </is>
      </c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>
        <v>46357</v>
      </c>
      <c r="B45" s="20"/>
      <c r="C45" s="21" t="inlineStr">
        <is>
          <t xml:space="preserve">Επίσκεψη στο Συσσίτιο / Κοινωνικό Παντοπωλείο</t>
        </is>
      </c>
      <c r="D45" s="21" t="inlineStr">
        <is>
          <t xml:space="preserve">Εκδρομή / Επίσκεψη / Περίπατος</t>
        </is>
      </c>
      <c r="E45" s="21" t="inlineStr">
        <is>
          <t xml:space="preserve">1 τμήμα Γ΄ τάξης</t>
        </is>
      </c>
      <c r="F45" s="21"/>
      <c r="G45" s="21" t="inlineStr">
        <is>
          <t xml:space="preserve">Ενδεικτικά: Δεκέμβριος 2026 · η ακριβής ημερομηνία θα ανακοινωθεί · Με αστική συγκοινωνία ή πεζή</t>
        </is>
      </c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>
        <v>46388</v>
      </c>
      <c r="B46" s="20"/>
      <c r="C46" s="21" t="inlineStr">
        <is>
          <t xml:space="preserve">Επίσκεψη στο ΚΔΑΠ ΜΕΑ Πολίχνης (1ο τμήμα)</t>
        </is>
      </c>
      <c r="D46" s="21" t="inlineStr">
        <is>
          <t xml:space="preserve">Εκδρομή / Επίσκεψη / Περίπατος</t>
        </is>
      </c>
      <c r="E46" s="21" t="inlineStr">
        <is>
          <t xml:space="preserve">1 τμήμα Γ΄ τάξης</t>
        </is>
      </c>
      <c r="F46" s="21"/>
      <c r="G46" s="21" t="inlineStr">
        <is>
          <t xml:space="preserve">Ενδεικτικά: Ιανουάριος 2027 · η ακριβής ημερομηνία θα ανακοινωθεί · Με αστική συγκοινωνία ή πεζή</t>
        </is>
      </c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>
        <v>46388</v>
      </c>
      <c r="B47" s="20"/>
      <c r="C47" s="21" t="inlineStr">
        <is>
          <t xml:space="preserve">Επίσκεψη στο ΚΔΑΠ ΜΕΑ Πολίχνης (2ο τμήμα)</t>
        </is>
      </c>
      <c r="D47" s="21" t="inlineStr">
        <is>
          <t xml:space="preserve">Εκδρομή / Επίσκεψη / Περίπατος</t>
        </is>
      </c>
      <c r="E47" s="21" t="inlineStr">
        <is>
          <t xml:space="preserve">1 τμήμα Γ΄ τάξης</t>
        </is>
      </c>
      <c r="F47" s="21"/>
      <c r="G47" s="21" t="inlineStr">
        <is>
          <t xml:space="preserve">Ενδεικτικά: Ιανουάριος 2027, άλλη μέρα από το 1ο τμήμα · η ακριβής ημερομηνία θα ανακοινωθεί · Με αστική συγκοινωνία ή πεζή</t>
        </is>
      </c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>
        <v>46421</v>
      </c>
      <c r="B48" s="20"/>
      <c r="C48" s="21" t="inlineStr">
        <is>
          <t xml:space="preserve">Επίσκεψη στο Γ.Ν. Παπαγεωργίου – Σύλλογος Αντηρίδα</t>
        </is>
      </c>
      <c r="D48" s="21" t="inlineStr">
        <is>
          <t xml:space="preserve">Εκδρομή / Επίσκεψη / Περίπατος</t>
        </is>
      </c>
      <c r="E48" s="21" t="inlineStr">
        <is>
          <t xml:space="preserve">1 τμήμα</t>
        </is>
      </c>
      <c r="F48" s="21"/>
      <c r="G48" s="21" t="inlineStr">
        <is>
          <t xml:space="preserve">Με αστική συγκοινωνία ή πεζή</t>
        </is>
      </c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>
        <v>46428</v>
      </c>
      <c r="B49" s="20"/>
      <c r="C49" s="21" t="inlineStr">
        <is>
          <t xml:space="preserve">Επίσκεψη στο Γ.Ν. Παπαγεωργίου – Σύλλογος Αντηρίδα</t>
        </is>
      </c>
      <c r="D49" s="21" t="inlineStr">
        <is>
          <t xml:space="preserve">Εκδρομή / Επίσκεψη / Περίπατος</t>
        </is>
      </c>
      <c r="E49" s="21" t="inlineStr">
        <is>
          <t xml:space="preserve">1 τμήμα</t>
        </is>
      </c>
      <c r="F49" s="21"/>
      <c r="G49" s="21" t="inlineStr">
        <is>
          <t xml:space="preserve">Με αστική συγκοινωνία ή πεζή</t>
        </is>
      </c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>
        <v>46419</v>
      </c>
      <c r="B50" s="20"/>
      <c r="C50" s="21" t="inlineStr">
        <is>
          <t xml:space="preserve">«Οδύσσεια» – θεατρική ομάδα «Μικρός Βορράς»</t>
        </is>
      </c>
      <c r="D50" s="21" t="inlineStr">
        <is>
          <t xml:space="preserve">Εκδρομή / Επίσκεψη / Περίπατος</t>
        </is>
      </c>
      <c r="E50" s="21" t="inlineStr">
        <is>
          <t xml:space="preserve">Α΄ τάξη</t>
        </is>
      </c>
      <c r="F50" s="21" t="inlineStr">
        <is>
          <t xml:space="preserve">Σωτηριάδου Ελπίς</t>
        </is>
      </c>
      <c r="G50" s="21" t="inlineStr">
        <is>
          <t xml:space="preserve">Ενδεικτικά: Φεβρουάριος – Μάρτιος 2027 · η ακριβής ημερομηνία θα ανακοινωθεί</t>
        </is>
      </c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>
        <v>46447</v>
      </c>
      <c r="B51" s="20"/>
      <c r="C51" s="21" t="inlineStr">
        <is>
          <t xml:space="preserve">Επίσκεψη στο ΚΗΦΗ Δήμου Παύλου Μελά</t>
        </is>
      </c>
      <c r="D51" s="21" t="inlineStr">
        <is>
          <t xml:space="preserve">Εκδρομή / Επίσκεψη / Περίπατος</t>
        </is>
      </c>
      <c r="E51" s="21" t="inlineStr">
        <is>
          <t xml:space="preserve">1 τμήμα</t>
        </is>
      </c>
      <c r="F51" s="21"/>
      <c r="G51" s="21" t="inlineStr">
        <is>
          <t xml:space="preserve">Ενδεικτικά: Μάρτιος 2027 · η ακριβής ημερομηνία θα ανακοινωθεί · Με αστική συγκοινωνία ή πεζή</t>
        </is>
      </c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>
        <v>46447</v>
      </c>
      <c r="B52" s="20"/>
      <c r="C52" s="21" t="inlineStr">
        <is>
          <t xml:space="preserve">Επίσκεψη στο ΚΕΠΕΑ Αρναίας</t>
        </is>
      </c>
      <c r="D52" s="21" t="inlineStr">
        <is>
          <t xml:space="preserve">Εκδρομή / Επίσκεψη / Περίπατος</t>
        </is>
      </c>
      <c r="E52" s="21"/>
      <c r="F52" s="21"/>
      <c r="G52" s="21" t="inlineStr">
        <is>
          <t xml:space="preserve">Ενδεικτικά: τέλος Μαρτίου 2027 · η ακριβής ημερομηνία και τα τμήματα θα ανακοινωθούν</t>
        </is>
      </c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>
        <v>46447</v>
      </c>
      <c r="B53" s="20"/>
      <c r="C53" s="21" t="inlineStr">
        <is>
          <t xml:space="preserve">Φεστιβάλ θεάτρου</t>
        </is>
      </c>
      <c r="D53" s="21" t="inlineStr">
        <is>
          <t xml:space="preserve">Εκδρομή / Επίσκεψη / Περίπατος</t>
        </is>
      </c>
      <c r="E53" s="21" t="inlineStr">
        <is>
          <t xml:space="preserve">Θεατρική ομάδα + Γ1</t>
        </is>
      </c>
      <c r="F53" s="21" t="inlineStr">
        <is>
          <t xml:space="preserve">Καραγιάννη Αγγελική</t>
        </is>
      </c>
      <c r="G53" s="21" t="inlineStr">
        <is>
          <t xml:space="preserve">Ενδεικτικά: τέλος Μαρτίου 2027 · η ακριβής ημερομηνία θα ανακοινωθεί</t>
        </is>
      </c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>
        <v>46447</v>
      </c>
      <c r="B54" s="20"/>
      <c r="C54" s="21" t="inlineStr">
        <is>
          <t xml:space="preserve">Επίσκεψη στην Αμερικανική Γεωργική Σχολή</t>
        </is>
      </c>
      <c r="D54" s="21" t="inlineStr">
        <is>
          <t xml:space="preserve">Εκδρομή / Επίσκεψη / Περίπατος</t>
        </is>
      </c>
      <c r="E54" s="21" t="inlineStr">
        <is>
          <t xml:space="preserve">Α΄ τάξη</t>
        </is>
      </c>
      <c r="F54" s="21" t="inlineStr">
        <is>
          <t xml:space="preserve">Κιτσάτης Νικόλαος</t>
        </is>
      </c>
      <c r="G54" s="21" t="inlineStr">
        <is>
          <t xml:space="preserve">Ενδεικτικά: Μάρτιος – Απρίλιος 2027 · η ακριβής ημερομηνία θα ανακοινωθεί</t>
        </is>
      </c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>
        <v>46492</v>
      </c>
      <c r="B55" s="20"/>
      <c r="C55" s="21" t="inlineStr">
        <is>
          <t xml:space="preserve">Οχυρό Ρούπελ – Λίμνη Κερκίνη</t>
        </is>
      </c>
      <c r="D55" s="21" t="inlineStr">
        <is>
          <t xml:space="preserve">Εκδρομή / Επίσκεψη / Περίπατος</t>
        </is>
      </c>
      <c r="E55" s="21" t="inlineStr">
        <is>
          <t xml:space="preserve">Γ1, Γ3</t>
        </is>
      </c>
      <c r="F55" s="21" t="inlineStr">
        <is>
          <t xml:space="preserve">Βασιλακοπούλου Σταυρούλα</t>
        </is>
      </c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>
        <v>46508</v>
      </c>
      <c r="B56" s="20"/>
      <c r="C56" s="21" t="inlineStr">
        <is>
          <t xml:space="preserve">Προσομοίωση Συνεδρίασης Δημοτικού Συμβουλίου (Δημαρχείο – Αθ. Τσακίρη)</t>
        </is>
      </c>
      <c r="D56" s="21" t="inlineStr">
        <is>
          <t xml:space="preserve">Εκδρομή / Επίσκεψη / Περίπατος</t>
        </is>
      </c>
      <c r="E56" s="21" t="inlineStr">
        <is>
          <t xml:space="preserve">Γ΄ τάξη</t>
        </is>
      </c>
      <c r="F56" s="21"/>
      <c r="G56" s="21" t="inlineStr">
        <is>
          <t xml:space="preserve">Ενδεικτικά: Μάιος 2027 · η ακριβής ημερομηνία θα ανακοινωθεί · Με αστική συγκοινωνία ή πεζή</t>
        </is>
      </c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si="0"/>
        <v/>
      </c>
      <c r="I65" s="23" t="str">
        <f>IF($A65="","",$A65&amp;"#"&amp;COUNTIF($A$2:$A65,$A65))</f>
        <v/>
      </c>
      <c r="J65" s="23" t="str">
        <f t="shared" si="1"/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ref="H66:H129" si="2">IF($A66="","",CHOOSE(WEEKDAY($A66,2),"Δευ","Τρί","Τετ","Πέμ","Παρ","Σάβ","Κυρ"))</f>
        <v/>
      </c>
      <c r="I66" s="23" t="str">
        <f>IF($A66="","",$A66&amp;"#"&amp;COUNTIF($A$2:$A66,$A66))</f>
        <v/>
      </c>
      <c r="J66" s="23" t="str">
        <f t="shared" ref="J66:J129" si="3">IF($A66="","",IF($B66="","",$B66&amp;"  ")&amp;$C66&amp;IF($E66="","","  ("&amp;$E66&amp;")"))</f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A119" s="19"/>
      <c r="B119" s="20"/>
      <c r="C119" s="21"/>
      <c r="D119" s="21"/>
      <c r="E119" s="21"/>
      <c r="F119" s="21"/>
      <c r="G119" s="21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si="2"/>
        <v/>
      </c>
      <c r="I129" s="23" t="str">
        <f>IF($A129="","",$A129&amp;"#"&amp;COUNTIF($A$2:$A129,$A129))</f>
        <v/>
      </c>
      <c r="J129" s="23" t="str">
        <f t="shared" si="3"/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ref="H130:H193" si="4">IF($A130="","",CHOOSE(WEEKDAY($A130,2),"Δευ","Τρί","Τετ","Πέμ","Παρ","Σάβ","Κυρ"))</f>
        <v/>
      </c>
      <c r="I130" s="23" t="str">
        <f>IF($A130="","",$A130&amp;"#"&amp;COUNTIF($A$2:$A130,$A130))</f>
        <v/>
      </c>
      <c r="J130" s="23" t="str">
        <f t="shared" ref="J130:J193" si="5">IF($A130="","",IF($B130="","",$B130&amp;"  ")&amp;$C130&amp;IF($E130="","","  ("&amp;$E130&amp;")"))</f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si="4"/>
        <v/>
      </c>
      <c r="I193" s="23" t="str">
        <f>IF($A193="","",$A193&amp;"#"&amp;COUNTIF($A$2:$A193,$A193))</f>
        <v/>
      </c>
      <c r="J193" s="23" t="str">
        <f t="shared" si="5"/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ref="H194:H257" si="6">IF($A194="","",CHOOSE(WEEKDAY($A194,2),"Δευ","Τρί","Τετ","Πέμ","Παρ","Σάβ","Κυρ"))</f>
        <v/>
      </c>
      <c r="I194" s="23" t="str">
        <f>IF($A194="","",$A194&amp;"#"&amp;COUNTIF($A$2:$A194,$A194))</f>
        <v/>
      </c>
      <c r="J194" s="23" t="str">
        <f t="shared" ref="J194:J257" si="7">IF($A194="","",IF($B194="","",$B194&amp;"  ")&amp;$C194&amp;IF($E194="","","  ("&amp;$E194&amp;")"))</f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si="6"/>
        <v/>
      </c>
      <c r="I257" s="23" t="str">
        <f>IF($A257="","",$A257&amp;"#"&amp;COUNTIF($A$2:$A257,$A257))</f>
        <v/>
      </c>
      <c r="J257" s="23" t="str">
        <f t="shared" si="7"/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ref="H258:H321" si="8">IF($A258="","",CHOOSE(WEEKDAY($A258,2),"Δευ","Τρί","Τετ","Πέμ","Παρ","Σάβ","Κυρ"))</f>
        <v/>
      </c>
      <c r="I258" s="23" t="str">
        <f>IF($A258="","",$A258&amp;"#"&amp;COUNTIF($A$2:$A258,$A258))</f>
        <v/>
      </c>
      <c r="J258" s="23" t="str">
        <f t="shared" ref="J258:J321" si="9">IF($A258="","",IF($B258="","",$B258&amp;"  ")&amp;$C258&amp;IF($E258="","","  ("&amp;$E258&amp;")"))</f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si="8"/>
        <v/>
      </c>
      <c r="I321" s="23" t="str">
        <f>IF($A321="","",$A321&amp;"#"&amp;COUNTIF($A$2:$A321,$A321))</f>
        <v/>
      </c>
      <c r="J321" s="23" t="str">
        <f t="shared" si="9"/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ref="H322:H385" si="10">IF($A322="","",CHOOSE(WEEKDAY($A322,2),"Δευ","Τρί","Τετ","Πέμ","Παρ","Σάβ","Κυρ"))</f>
        <v/>
      </c>
      <c r="I322" s="23" t="str">
        <f>IF($A322="","",$A322&amp;"#"&amp;COUNTIF($A$2:$A322,$A322))</f>
        <v/>
      </c>
      <c r="J322" s="23" t="str">
        <f t="shared" ref="J322:J385" si="11">IF($A322="","",IF($B322="","",$B322&amp;"  ")&amp;$C322&amp;IF($E322="","","  ("&amp;$E322&amp;")"))</f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si="10"/>
        <v/>
      </c>
      <c r="I385" s="23" t="str">
        <f>IF($A385="","",$A385&amp;"#"&amp;COUNTIF($A$2:$A385,$A385))</f>
        <v/>
      </c>
      <c r="J385" s="23" t="str">
        <f t="shared" si="11"/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ref="H386:H399" si="12">IF($A386="","",CHOOSE(WEEKDAY($A386,2),"Δευ","Τρί","Τετ","Πέμ","Παρ","Σάβ","Κυρ"))</f>
        <v/>
      </c>
      <c r="I386" s="23" t="str">
        <f>IF($A386="","",$A386&amp;"#"&amp;COUNTIF($A$2:$A386,$A386))</f>
        <v/>
      </c>
      <c r="J386" s="23" t="str">
        <f t="shared" ref="J386:J399" si="13">IF($A386="","",IF($B386="","",$B386&amp;"  ")&amp;$C386&amp;IF($E386="","","  ("&amp;$E386&amp;")"))</f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  <row r="399" spans="3:10" x14ac:dyDescent="0.3">
      <c r="C399" s="44"/>
      <c r="D399" s="44"/>
      <c r="E399" s="44"/>
      <c r="F399" s="44"/>
      <c r="G399" s="44"/>
      <c r="H399" s="22" t="str">
        <f t="shared" si="12"/>
        <v/>
      </c>
      <c r="I399" s="23" t="str">
        <f>IF($A399="","",$A399&amp;"#"&amp;COUNTIF($A$2:$A399,$A399))</f>
        <v/>
      </c>
      <c r="J399" s="23" t="str">
        <f t="shared" si="13"/>
        <v/>
      </c>
    </row>
  </sheetData>
  <autoFilter ref="A1:J399" xr:uid="{00000000-0001-0000-0200-000000000000}">
    <sortState xmlns:xlrd2="http://schemas.microsoft.com/office/spreadsheetml/2017/richdata2" ref="A2:J399">
      <sortCondition ref="A1:A399"/>
    </sortState>
  </autoFilter>
  <conditionalFormatting sqref="A2:G399">
    <cfRule type="expression" dxfId="44" priority="2">
      <formula>$D2="Αργία / Διακοπές"</formula>
    </cfRule>
    <cfRule type="expression" dxfId="43" priority="3">
      <formula>$D2="Εορτή / Εκκλησιασμός"</formula>
    </cfRule>
    <cfRule type="expression" dxfId="42" priority="4">
      <formula>$D2="Εκδρομή / Επίσκεψη / Περίπατος"</formula>
    </cfRule>
    <cfRule type="expression" dxfId="41" priority="5">
      <formula>$D2="Σύλλογος διδασκόντων"</formula>
    </cfRule>
    <cfRule type="expression" dxfId="40" priority="6">
      <formula>$D2="Ενημέρωση γονέων / Έλεγχοι"</formula>
    </cfRule>
    <cfRule type="expression" dxfId="39" priority="7">
      <formula>$D2="Ορόσημο / Εξετάσεις"</formula>
    </cfRule>
    <cfRule type="expression" dxfId="38" priority="8">
      <formula>$D2="Επιμόρφωση εκπαιδευτικών"</formula>
    </cfRule>
    <cfRule type="expression" dxfId="37" priority="9">
      <formula>$D2="Δράση / Πρόγραμμα / Όμιλος"</formula>
    </cfRule>
  </conditionalFormatting>
  <conditionalFormatting sqref="A2:G399">
    <cfRule type="expression" dxfId="0" priority="11">
      <formula>AND($A2="",$A1&lt;&gt;"")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9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9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94" t="s">
        <v>0</v>
      </c>
      <c r="B1" s="94"/>
      <c r="C1" s="94"/>
      <c r="D1" s="94"/>
      <c r="E1" s="94"/>
      <c r="F1" s="94"/>
      <c r="G1" s="94"/>
      <c r="H1" s="94"/>
      <c r="I1" s="94"/>
      <c r="K1" s="36" t="s">
        <v>81</v>
      </c>
      <c r="N1" t="s">
        <v>68</v>
      </c>
      <c r="O1" t="s">
        <v>69</v>
      </c>
      <c r="P1" t="s">
        <v>70</v>
      </c>
    </row>
    <row r="2" spans="1:16" ht="24" customHeight="1" x14ac:dyDescent="0.3">
      <c r="A2" s="95" t="str">
        <f>$L$2&amp;" "&amp;$L$6</f>
        <v>ΟΚΤΩΒΡΙΟΣ 2026</v>
      </c>
      <c r="B2" s="95"/>
      <c r="C2" s="95"/>
      <c r="D2" s="95"/>
      <c r="F2" s="95" t="str">
        <f>$L$3&amp;" "&amp;$L$8</f>
        <v>ΝΟΕΜΒΡΙΟΣ 2026</v>
      </c>
      <c r="G2" s="95"/>
      <c r="H2" s="95"/>
      <c r="I2" s="95"/>
      <c r="K2" s="34" t="s">
        <v>82</v>
      </c>
      <c r="L2" s="38" t="s">
        <v>72</v>
      </c>
      <c r="N2" t="s">
        <v>71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24" t="s">
        <v>42</v>
      </c>
      <c r="G3" s="24" t="s">
        <v>65</v>
      </c>
      <c r="H3" s="24" t="s">
        <v>33</v>
      </c>
      <c r="I3" s="24" t="s">
        <v>66</v>
      </c>
      <c r="K3" s="35" t="s">
        <v>83</v>
      </c>
      <c r="L3" s="37" t="s">
        <v>73</v>
      </c>
      <c r="N3" t="s">
        <v>72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IFERROR(INDEX(ΔΡΑΣΕΙΣ!$D$2:$D$399,MATCH($G4&amp;"#1",ΔΡΑΣΕΙΣ!$I$2:$I$399,0)),"")</f>
        <v/>
      </c>
      <c r="I4" s="28" t="str">
        <f>IF($G4="","",IFERROR(INDEX(ΔΡΑΣΕΙΣ!$J$2:$J$399,MATCH($G4&amp;"#1",ΔΡΑΣΕΙΣ!$I$2:$I$399,0)),"")&amp;IFERROR(CHAR(10)&amp;INDEX(ΔΡΑΣΕΙΣ!$J$2:$J$399,MATCH($G4&amp;"#2",ΔΡΑΣΕΙΣ!$I$2:$I$399,0)),"")&amp;IFERROR(CHAR(10)&amp;INDEX(ΔΡΑΣΕΙΣ!$J$2:$J$399,MATCH($G4&amp;"#3",ΔΡΑΣΕΙΣ!$I$2:$I$399,0)),""))</f>
        <v/>
      </c>
      <c r="K4" s="34"/>
      <c r="N4" t="s">
        <v>73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IFERROR(INDEX(ΔΡΑΣΕΙΣ!$D$2:$D$399,MATCH($G5&amp;"#1",ΔΡΑΣΕΙΣ!$I$2:$I$399,0)),"")</f>
        <v/>
      </c>
      <c r="I5" s="28" t="str">
        <f>IF($G5="","",IFERROR(INDEX(ΔΡΑΣΕΙΣ!$J$2:$J$399,MATCH($G5&amp;"#1",ΔΡΑΣΕΙΣ!$I$2:$I$399,0)),"")&amp;IFERROR(CHAR(10)&amp;INDEX(ΔΡΑΣΕΙΣ!$J$2:$J$399,MATCH($G5&amp;"#2",ΔΡΑΣΕΙΣ!$I$2:$I$399,0)),"")&amp;IFERROR(CHAR(10)&amp;INDEX(ΔΡΑΣΕΙΣ!$J$2:$J$399,MATCH($G5&amp;"#3",ΔΡΑΣΕΙΣ!$I$2:$I$399,0)),""))</f>
        <v/>
      </c>
      <c r="K5" s="34" t="s">
        <v>84</v>
      </c>
      <c r="L5">
        <f>INDEX($O$2:$O$11,MATCH($L$2,$N$2:$N$11,0))</f>
        <v>10</v>
      </c>
      <c r="N5" t="s">
        <v>74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IFERROR(INDEX(ΔΡΑΣΕΙΣ!$D$2:$D$399,MATCH($G6&amp;"#1",ΔΡΑΣΕΙΣ!$I$2:$I$399,0)),"")</f>
        <v/>
      </c>
      <c r="I6" s="28" t="str">
        <f>IF($G6="","",IFERROR(INDEX(ΔΡΑΣΕΙΣ!$J$2:$J$399,MATCH($G6&amp;"#1",ΔΡΑΣΕΙΣ!$I$2:$I$399,0)),"")&amp;IFERROR(CHAR(10)&amp;INDEX(ΔΡΑΣΕΙΣ!$J$2:$J$399,MATCH($G6&amp;"#2",ΔΡΑΣΕΙΣ!$I$2:$I$399,0)),"")&amp;IFERROR(CHAR(10)&amp;INDEX(ΔΡΑΣΕΙΣ!$J$2:$J$399,MATCH($G6&amp;"#3",ΔΡΑΣΕΙΣ!$I$2:$I$399,0)),""))</f>
        <v/>
      </c>
      <c r="K6" s="34" t="s">
        <v>85</v>
      </c>
      <c r="L6">
        <f>ΟΔΗΓΙΕΣ!$B$3+INDEX($P$2:$P$11,MATCH($L$2,$N$2:$N$11,0))</f>
        <v>2026</v>
      </c>
      <c r="N6" t="s">
        <v>75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IFERROR(INDEX(ΔΡΑΣΕΙΣ!$D$2:$D$399,MATCH($B7&amp;"#1",ΔΡΑΣΕΙΣ!$I$2:$I$399,0)),"")</f>
        <v/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IFERROR(INDEX(ΔΡΑΣΕΙΣ!$D$2:$D$399,MATCH($G7&amp;"#1",ΔΡΑΣΕΙΣ!$I$2:$I$399,0)),"")</f>
        <v>Δράση / Πρόγραμμα / Όμιλος</v>
      </c>
      <c r="I7" s="28" t="str">
        <f>IF($G7="","",IFERROR(INDEX(ΔΡΑΣΕΙΣ!$J$2:$J$399,MATCH($G7&amp;"#1",ΔΡΑΣΕΙΣ!$I$2:$I$399,0)),"")&amp;IFERROR(CHAR(10)&amp;INDEX(ΔΡΑΣΕΙΣ!$J$2:$J$399,MATCH($G7&amp;"#2",ΔΡΑΣΕΙΣ!$I$2:$I$399,0)),"")&amp;IFERROR(CHAR(10)&amp;INDEX(ΔΡΑΣΕΙΣ!$J$2:$J$399,MATCH($G7&amp;"#3",ΔΡΑΣΕΙΣ!$I$2:$I$399,0)),""))</f>
        <v>08:45-11:15  Διαδικτυακή εκπαίδευση «Kids Save Lives»</v>
      </c>
      <c r="K7" s="34" t="s">
        <v>86</v>
      </c>
      <c r="L7">
        <f>INDEX($O$2:$O$11,MATCH($L$3,$N$2:$N$11,0))</f>
        <v>11</v>
      </c>
      <c r="N7" t="s">
        <v>76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IFERROR(INDEX(ΔΡΑΣΕΙΣ!$D$2:$D$399,MATCH($G8&amp;"#1",ΔΡΑΣΕΙΣ!$I$2:$I$399,0)),"")</f>
        <v/>
      </c>
      <c r="I8" s="28" t="str">
        <f>IF($G8="","",IFERROR(INDEX(ΔΡΑΣΕΙΣ!$J$2:$J$399,MATCH($G8&amp;"#1",ΔΡΑΣΕΙΣ!$I$2:$I$399,0)),"")&amp;IFERROR(CHAR(10)&amp;INDEX(ΔΡΑΣΕΙΣ!$J$2:$J$399,MATCH($G8&amp;"#2",ΔΡΑΣΕΙΣ!$I$2:$I$399,0)),"")&amp;IFERROR(CHAR(10)&amp;INDEX(ΔΡΑΣΕΙΣ!$J$2:$J$399,MATCH($G8&amp;"#3",ΔΡΑΣΕΙΣ!$I$2:$I$399,0)),""))</f>
        <v/>
      </c>
      <c r="K8" s="34" t="s">
        <v>87</v>
      </c>
      <c r="L8">
        <f>ΟΔΗΓΙΕΣ!$B$3+INDEX($P$2:$P$11,MATCH($L$3,$N$2:$N$11,0))</f>
        <v>2026</v>
      </c>
      <c r="N8" t="s">
        <v>77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IFERROR(INDEX(ΔΡΑΣΕΙΣ!$D$2:$D$399,MATCH($G9&amp;"#1",ΔΡΑΣΕΙΣ!$I$2:$I$399,0)),"")</f>
        <v/>
      </c>
      <c r="I9" s="28" t="str">
        <f>IF($G9="","",IFERROR(INDEX(ΔΡΑΣΕΙΣ!$J$2:$J$399,MATCH($G9&amp;"#1",ΔΡΑΣΕΙΣ!$I$2:$I$399,0)),"")&amp;IFERROR(CHAR(10)&amp;INDEX(ΔΡΑΣΕΙΣ!$J$2:$J$399,MATCH($G9&amp;"#2",ΔΡΑΣΕΙΣ!$I$2:$I$399,0)),"")&amp;IFERROR(CHAR(10)&amp;INDEX(ΔΡΑΣΕΙΣ!$J$2:$J$399,MATCH($G9&amp;"#3",ΔΡΑΣΕΙΣ!$I$2:$I$399,0)),""))</f>
        <v/>
      </c>
      <c r="N9" t="s">
        <v>78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IFERROR(INDEX(ΔΡΑΣΕΙΣ!$D$2:$D$399,MATCH($G10&amp;"#1",ΔΡΑΣΕΙΣ!$I$2:$I$399,0)),"")</f>
        <v/>
      </c>
      <c r="I10" s="28" t="str">
        <f>IF($G10="","",IFERROR(INDEX(ΔΡΑΣΕΙΣ!$J$2:$J$399,MATCH($G10&amp;"#1",ΔΡΑΣΕΙΣ!$I$2:$I$399,0)),"")&amp;IFERROR(CHAR(10)&amp;INDEX(ΔΡΑΣΕΙΣ!$J$2:$J$399,MATCH($G10&amp;"#2",ΔΡΑΣΕΙΣ!$I$2:$I$399,0)),"")&amp;IFERROR(CHAR(10)&amp;INDEX(ΔΡΑΣΕΙΣ!$J$2:$J$399,MATCH($G10&amp;"#3",ΔΡΑΣΕΙΣ!$I$2:$I$399,0)),""))</f>
        <v/>
      </c>
      <c r="N10" t="s">
        <v>79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IFERROR(INDEX(ΔΡΑΣΕΙΣ!$D$2:$D$399,MATCH($G11&amp;"#1",ΔΡΑΣΕΙΣ!$I$2:$I$399,0)),"")</f>
        <v/>
      </c>
      <c r="I11" s="28" t="str">
        <f>IF($G11="","",IFERROR(INDEX(ΔΡΑΣΕΙΣ!$J$2:$J$399,MATCH($G11&amp;"#1",ΔΡΑΣΕΙΣ!$I$2:$I$399,0)),"")&amp;IFERROR(CHAR(10)&amp;INDEX(ΔΡΑΣΕΙΣ!$J$2:$J$399,MATCH($G11&amp;"#2",ΔΡΑΣΕΙΣ!$I$2:$I$399,0)),"")&amp;IFERROR(CHAR(10)&amp;INDEX(ΔΡΑΣΕΙΣ!$J$2:$J$399,MATCH($G11&amp;"#3",ΔΡΑΣΕΙΣ!$I$2:$I$399,0)),""))</f>
        <v/>
      </c>
      <c r="N11" t="s">
        <v>80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IFERROR(INDEX(ΔΡΑΣΕΙΣ!$D$2:$D$399,MATCH($G12&amp;"#1",ΔΡΑΣΕΙΣ!$I$2:$I$399,0)),"")</f>
        <v/>
      </c>
      <c r="I12" s="28" t="str">
        <f>IF($G12="","",IFERROR(INDEX(ΔΡΑΣΕΙΣ!$J$2:$J$399,MATCH($G12&amp;"#1",ΔΡΑΣΕΙΣ!$I$2:$I$399,0)),"")&amp;IFERROR(CHAR(10)&amp;INDEX(ΔΡΑΣΕΙΣ!$J$2:$J$399,MATCH($G12&amp;"#2",ΔΡΑΣΕΙΣ!$I$2:$I$399,0)),"")&amp;IFERROR(CHAR(10)&amp;INDEX(ΔΡΑΣΕΙΣ!$J$2:$J$399,MATCH($G12&amp;"#3",ΔΡΑΣΕΙΣ!$I$2:$I$399,0)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IFERROR(INDEX(ΔΡΑΣΕΙΣ!$D$2:$D$399,MATCH($G13&amp;"#1",ΔΡΑΣΕΙΣ!$I$2:$I$399,0)),"")</f>
        <v/>
      </c>
      <c r="I13" s="28" t="str">
        <f>IF($G13="","",IFERROR(INDEX(ΔΡΑΣΕΙΣ!$J$2:$J$399,MATCH($G13&amp;"#1",ΔΡΑΣΕΙΣ!$I$2:$I$399,0)),"")&amp;IFERROR(CHAR(10)&amp;INDEX(ΔΡΑΣΕΙΣ!$J$2:$J$399,MATCH($G13&amp;"#2",ΔΡΑΣΕΙΣ!$I$2:$I$399,0)),"")&amp;IFERROR(CHAR(10)&amp;INDEX(ΔΡΑΣΕΙΣ!$J$2:$J$399,MATCH($G13&amp;"#3",ΔΡΑΣΕΙΣ!$I$2:$I$399,0)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IFERROR(INDEX(ΔΡΑΣΕΙΣ!$D$2:$D$399,MATCH($G14&amp;"#1",ΔΡΑΣΕΙΣ!$I$2:$I$399,0)),"")</f>
        <v/>
      </c>
      <c r="I14" s="28" t="str">
        <f>IF($G14="","",IFERROR(INDEX(ΔΡΑΣΕΙΣ!$J$2:$J$399,MATCH($G14&amp;"#1",ΔΡΑΣΕΙΣ!$I$2:$I$399,0)),"")&amp;IFERROR(CHAR(10)&amp;INDEX(ΔΡΑΣΕΙΣ!$J$2:$J$399,MATCH($G14&amp;"#2",ΔΡΑΣΕΙΣ!$I$2:$I$399,0)),"")&amp;IFERROR(CHAR(10)&amp;INDEX(ΔΡΑΣΕΙΣ!$J$2:$J$399,MATCH($G14&amp;"#3",ΔΡΑΣΕΙΣ!$I$2:$I$399,0)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IFERROR(INDEX(ΔΡΑΣΕΙΣ!$D$2:$D$399,MATCH($G15&amp;"#1",ΔΡΑΣΕΙΣ!$I$2:$I$399,0)),"")</f>
        <v/>
      </c>
      <c r="I15" s="28" t="str">
        <f>IF($G15="","",IFERROR(INDEX(ΔΡΑΣΕΙΣ!$J$2:$J$399,MATCH($G15&amp;"#1",ΔΡΑΣΕΙΣ!$I$2:$I$399,0)),"")&amp;IFERROR(CHAR(10)&amp;INDEX(ΔΡΑΣΕΙΣ!$J$2:$J$399,MATCH($G15&amp;"#2",ΔΡΑΣΕΙΣ!$I$2:$I$399,0)),"")&amp;IFERROR(CHAR(10)&amp;INDEX(ΔΡΑΣΕΙΣ!$J$2:$J$399,MATCH($G15&amp;"#3",ΔΡΑΣΕΙΣ!$I$2:$I$399,0)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IFERROR(INDEX(ΔΡΑΣΕΙΣ!$D$2:$D$399,MATCH($G16&amp;"#1",ΔΡΑΣΕΙΣ!$I$2:$I$399,0)),"")</f>
        <v/>
      </c>
      <c r="I16" s="28" t="str">
        <f>IF($G16="","",IFERROR(INDEX(ΔΡΑΣΕΙΣ!$J$2:$J$399,MATCH($G16&amp;"#1",ΔΡΑΣΕΙΣ!$I$2:$I$399,0)),"")&amp;IFERROR(CHAR(10)&amp;INDEX(ΔΡΑΣΕΙΣ!$J$2:$J$399,MATCH($G16&amp;"#2",ΔΡΑΣΕΙΣ!$I$2:$I$399,0)),"")&amp;IFERROR(CHAR(10)&amp;INDEX(ΔΡΑΣΕΙΣ!$J$2:$J$399,MATCH($G16&amp;"#3",ΔΡΑΣΕΙΣ!$I$2:$I$399,0)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IFERROR(INDEX(ΔΡΑΣΕΙΣ!$D$2:$D$399,MATCH($G17&amp;"#1",ΔΡΑΣΕΙΣ!$I$2:$I$399,0)),"")</f>
        <v/>
      </c>
      <c r="I17" s="28" t="str">
        <f>IF($G17="","",IFERROR(INDEX(ΔΡΑΣΕΙΣ!$J$2:$J$399,MATCH($G17&amp;"#1",ΔΡΑΣΕΙΣ!$I$2:$I$399,0)),"")&amp;IFERROR(CHAR(10)&amp;INDEX(ΔΡΑΣΕΙΣ!$J$2:$J$399,MATCH($G17&amp;"#2",ΔΡΑΣΕΙΣ!$I$2:$I$399,0)),"")&amp;IFERROR(CHAR(10)&amp;INDEX(ΔΡΑΣΕΙΣ!$J$2:$J$399,MATCH($G17&amp;"#3",ΔΡΑΣΕΙΣ!$I$2:$I$399,0)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IFERROR(INDEX(ΔΡΑΣΕΙΣ!$D$2:$D$399,MATCH($G18&amp;"#1",ΔΡΑΣΕΙΣ!$I$2:$I$399,0)),"")</f>
        <v/>
      </c>
      <c r="I18" s="28" t="str">
        <f>IF($G18="","",IFERROR(INDEX(ΔΡΑΣΕΙΣ!$J$2:$J$399,MATCH($G18&amp;"#1",ΔΡΑΣΕΙΣ!$I$2:$I$399,0)),"")&amp;IFERROR(CHAR(10)&amp;INDEX(ΔΡΑΣΕΙΣ!$J$2:$J$399,MATCH($G18&amp;"#2",ΔΡΑΣΕΙΣ!$I$2:$I$399,0)),"")&amp;IFERROR(CHAR(10)&amp;INDEX(ΔΡΑΣΕΙΣ!$J$2:$J$399,MATCH($G18&amp;"#3",ΔΡΑΣΕΙΣ!$I$2:$I$399,0)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IFERROR(INDEX(ΔΡΑΣΕΙΣ!$D$2:$D$399,MATCH($G19&amp;"#1",ΔΡΑΣΕΙΣ!$I$2:$I$399,0)),"")</f>
        <v/>
      </c>
      <c r="I19" s="28" t="str">
        <f>IF($G19="","",IFERROR(INDEX(ΔΡΑΣΕΙΣ!$J$2:$J$399,MATCH($G19&amp;"#1",ΔΡΑΣΕΙΣ!$I$2:$I$399,0)),"")&amp;IFERROR(CHAR(10)&amp;INDEX(ΔΡΑΣΕΙΣ!$J$2:$J$399,MATCH($G19&amp;"#2",ΔΡΑΣΕΙΣ!$I$2:$I$399,0)),"")&amp;IFERROR(CHAR(10)&amp;INDEX(ΔΡΑΣΕΙΣ!$J$2:$J$399,MATCH($G19&amp;"#3",ΔΡΑΣΕΙΣ!$I$2:$I$399,0)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IFERROR(INDEX(ΔΡΑΣΕΙΣ!$D$2:$D$399,MATCH($B20&amp;"#1",ΔΡΑΣΕΙΣ!$I$2:$I$399,0)),"")</f>
        <v/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IFERROR(INDEX(ΔΡΑΣΕΙΣ!$D$2:$D$399,MATCH($G20&amp;"#1",ΔΡΑΣΕΙΣ!$I$2:$I$399,0)),"")</f>
        <v>Εορτή / Εκκλησιασμός</v>
      </c>
      <c r="I20" s="28" t="str">
        <f>IF($G20="","",IFERROR(INDEX(ΔΡΑΣΕΙΣ!$J$2:$J$399,MATCH($G20&amp;"#1",ΔΡΑΣΕΙΣ!$I$2:$I$399,0)),"")&amp;IFERROR(CHAR(10)&amp;INDEX(ΔΡΑΣΕΙΣ!$J$2:$J$399,MATCH($G20&amp;"#2",ΔΡΑΣΕΙΣ!$I$2:$I$399,0)),"")&amp;IFERROR(CHAR(10)&amp;INDEX(ΔΡΑΣΕΙΣ!$J$2:$J$399,MATCH($G20&amp;"#3",ΔΡΑΣΕΙΣ!$I$2:$I$399,0)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IFERROR(INDEX(ΔΡΑΣΕΙΣ!$D$2:$D$399,MATCH($G21&amp;"#1",ΔΡΑΣΕΙΣ!$I$2:$I$399,0)),"")</f>
        <v/>
      </c>
      <c r="I21" s="28" t="str">
        <f>IF($G21="","",IFERROR(INDEX(ΔΡΑΣΕΙΣ!$J$2:$J$399,MATCH($G21&amp;"#1",ΔΡΑΣΕΙΣ!$I$2:$I$399,0)),"")&amp;IFERROR(CHAR(10)&amp;INDEX(ΔΡΑΣΕΙΣ!$J$2:$J$399,MATCH($G21&amp;"#2",ΔΡΑΣΕΙΣ!$I$2:$I$399,0)),"")&amp;IFERROR(CHAR(10)&amp;INDEX(ΔΡΑΣΕΙΣ!$J$2:$J$399,MATCH($G21&amp;"#3",ΔΡΑΣΕΙΣ!$I$2:$I$399,0)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IFERROR(INDEX(ΔΡΑΣΕΙΣ!$D$2:$D$399,MATCH($G22&amp;"#1",ΔΡΑΣΕΙΣ!$I$2:$I$399,0)),"")</f>
        <v/>
      </c>
      <c r="I22" s="28" t="str">
        <f>IF($G22="","",IFERROR(INDEX(ΔΡΑΣΕΙΣ!$J$2:$J$399,MATCH($G22&amp;"#1",ΔΡΑΣΕΙΣ!$I$2:$I$399,0)),"")&amp;IFERROR(CHAR(10)&amp;INDEX(ΔΡΑΣΕΙΣ!$J$2:$J$399,MATCH($G22&amp;"#2",ΔΡΑΣΕΙΣ!$I$2:$I$399,0)),"")&amp;IFERROR(CHAR(10)&amp;INDEX(ΔΡΑΣΕΙΣ!$J$2:$J$399,MATCH($G22&amp;"#3",ΔΡΑΣΕΙΣ!$I$2:$I$399,0)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IFERROR(INDEX(ΔΡΑΣΕΙΣ!$D$2:$D$399,MATCH($G23&amp;"#1",ΔΡΑΣΕΙΣ!$I$2:$I$399,0)),"")</f>
        <v/>
      </c>
      <c r="I23" s="28" t="str">
        <f>IF($G23="","",IFERROR(INDEX(ΔΡΑΣΕΙΣ!$J$2:$J$399,MATCH($G23&amp;"#1",ΔΡΑΣΕΙΣ!$I$2:$I$399,0)),"")&amp;IFERROR(CHAR(10)&amp;INDEX(ΔΡΑΣΕΙΣ!$J$2:$J$399,MATCH($G23&amp;"#2",ΔΡΑΣΕΙΣ!$I$2:$I$399,0)),"")&amp;IFERROR(CHAR(10)&amp;INDEX(ΔΡΑΣΕΙΣ!$J$2:$J$399,MATCH($G23&amp;"#3",ΔΡΑΣΕΙΣ!$I$2:$I$399,0)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IFERROR(INDEX(ΔΡΑΣΕΙΣ!$D$2:$D$399,MATCH($G24&amp;"#1",ΔΡΑΣΕΙΣ!$I$2:$I$399,0)),"")</f>
        <v/>
      </c>
      <c r="I24" s="28" t="str">
        <f>IF($G24="","",IFERROR(INDEX(ΔΡΑΣΕΙΣ!$J$2:$J$399,MATCH($G24&amp;"#1",ΔΡΑΣΕΙΣ!$I$2:$I$399,0)),"")&amp;IFERROR(CHAR(10)&amp;INDEX(ΔΡΑΣΕΙΣ!$J$2:$J$399,MATCH($G24&amp;"#2",ΔΡΑΣΕΙΣ!$I$2:$I$399,0)),"")&amp;IFERROR(CHAR(10)&amp;INDEX(ΔΡΑΣΕΙΣ!$J$2:$J$399,MATCH($G24&amp;"#3",ΔΡΑΣΕΙΣ!$I$2:$I$399,0)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IFERROR(INDEX(ΔΡΑΣΕΙΣ!$D$2:$D$399,MATCH($G25&amp;"#1",ΔΡΑΣΕΙΣ!$I$2:$I$399,0)),"")</f>
        <v/>
      </c>
      <c r="I25" s="28" t="str">
        <f>IF($G25="","",IFERROR(INDEX(ΔΡΑΣΕΙΣ!$J$2:$J$399,MATCH($G25&amp;"#1",ΔΡΑΣΕΙΣ!$I$2:$I$399,0)),"")&amp;IFERROR(CHAR(10)&amp;INDEX(ΔΡΑΣΕΙΣ!$J$2:$J$399,MATCH($G25&amp;"#2",ΔΡΑΣΕΙΣ!$I$2:$I$399,0)),"")&amp;IFERROR(CHAR(10)&amp;INDEX(ΔΡΑΣΕΙΣ!$J$2:$J$399,MATCH($G25&amp;"#3",ΔΡΑΣΕΙΣ!$I$2:$I$399,0)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IFERROR(INDEX(ΔΡΑΣΕΙΣ!$D$2:$D$399,MATCH($G26&amp;"#1",ΔΡΑΣΕΙΣ!$I$2:$I$399,0)),"")</f>
        <v/>
      </c>
      <c r="I26" s="28" t="str">
        <f>IF($G26="","",IFERROR(INDEX(ΔΡΑΣΕΙΣ!$J$2:$J$399,MATCH($G26&amp;"#1",ΔΡΑΣΕΙΣ!$I$2:$I$399,0)),"")&amp;IFERROR(CHAR(10)&amp;INDEX(ΔΡΑΣΕΙΣ!$J$2:$J$399,MATCH($G26&amp;"#2",ΔΡΑΣΕΙΣ!$I$2:$I$399,0)),"")&amp;IFERROR(CHAR(10)&amp;INDEX(ΔΡΑΣΕΙΣ!$J$2:$J$399,MATCH($G26&amp;"#3",ΔΡΑΣΕΙΣ!$I$2:$I$399,0)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IFERROR(INDEX(ΔΡΑΣΕΙΣ!$D$2:$D$399,MATCH($G27&amp;"#1",ΔΡΑΣΕΙΣ!$I$2:$I$399,0)),"")</f>
        <v/>
      </c>
      <c r="I27" s="28" t="str">
        <f>IF($G27="","",IFERROR(INDEX(ΔΡΑΣΕΙΣ!$J$2:$J$399,MATCH($G27&amp;"#1",ΔΡΑΣΕΙΣ!$I$2:$I$399,0)),"")&amp;IFERROR(CHAR(10)&amp;INDEX(ΔΡΑΣΕΙΣ!$J$2:$J$399,MATCH($G27&amp;"#2",ΔΡΑΣΕΙΣ!$I$2:$I$399,0)),"")&amp;IFERROR(CHAR(10)&amp;INDEX(ΔΡΑΣΕΙΣ!$J$2:$J$399,MATCH($G27&amp;"#3",ΔΡΑΣΕΙΣ!$I$2:$I$399,0)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IFERROR(INDEX(ΔΡΑΣΕΙΣ!$D$2:$D$399,MATCH($G28&amp;"#1",ΔΡΑΣΕΙΣ!$I$2:$I$399,0)),"")</f>
        <v/>
      </c>
      <c r="I28" s="28" t="str">
        <f>IF($G28="","",IFERROR(INDEX(ΔΡΑΣΕΙΣ!$J$2:$J$399,MATCH($G28&amp;"#1",ΔΡΑΣΕΙΣ!$I$2:$I$399,0)),"")&amp;IFERROR(CHAR(10)&amp;INDEX(ΔΡΑΣΕΙΣ!$J$2:$J$399,MATCH($G28&amp;"#2",ΔΡΑΣΕΙΣ!$I$2:$I$399,0)),"")&amp;IFERROR(CHAR(10)&amp;INDEX(ΔΡΑΣΕΙΣ!$J$2:$J$399,MATCH($G28&amp;"#3",ΔΡΑΣΕΙΣ!$I$2:$I$399,0)),""))</f>
        <v/>
      </c>
    </row>
    <row r="29" spans="1:9" ht="26.4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IFERROR(INDEX(ΔΡΑΣΕΙΣ!$D$2:$D$399,MATCH($B29&amp;"#1",ΔΡΑΣΕΙΣ!$I$2:$I$399,0)),"")</f>
        <v>Αργία / Διακοπές</v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>Αγίου Δημητρίου – τοπική αργία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IFERROR(INDEX(ΔΡΑΣΕΙΣ!$D$2:$D$399,MATCH($G29&amp;"#1",ΔΡΑΣΕΙΣ!$I$2:$I$399,0)),"")</f>
        <v/>
      </c>
      <c r="I29" s="28" t="str">
        <f>IF($G29="","",IFERROR(INDEX(ΔΡΑΣΕΙΣ!$J$2:$J$399,MATCH($G29&amp;"#1",ΔΡΑΣΕΙΣ!$I$2:$I$399,0)),"")&amp;IFERROR(CHAR(10)&amp;INDEX(ΔΡΑΣΕΙΣ!$J$2:$J$399,MATCH($G29&amp;"#2",ΔΡΑΣΕΙΣ!$I$2:$I$399,0)),"")&amp;IFERROR(CHAR(10)&amp;INDEX(ΔΡΑΣΕΙΣ!$J$2:$J$399,MATCH($G29&amp;"#3",ΔΡΑΣΕΙΣ!$I$2:$I$399,0)),""))</f>
        <v/>
      </c>
    </row>
    <row r="30" spans="1:9" ht="26.4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IFERROR(INDEX(ΔΡΑΣΕΙΣ!$D$2:$D$399,MATCH($B30&amp;"#1",ΔΡΑΣΕΙΣ!$I$2:$I$399,0)),"")</f>
        <v>Εορτή / Εκκλησιασμός</v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>Εορταστικές εκδηλώσεις για την 28η Οκτωβρίου (χωρίς μάθημα)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IFERROR(INDEX(ΔΡΑΣΕΙΣ!$D$2:$D$399,MATCH($G30&amp;"#1",ΔΡΑΣΕΙΣ!$I$2:$I$399,0)),"")</f>
        <v/>
      </c>
      <c r="I30" s="28" t="str">
        <f>IF($G30="","",IFERROR(INDEX(ΔΡΑΣΕΙΣ!$J$2:$J$399,MATCH($G30&amp;"#1",ΔΡΑΣΕΙΣ!$I$2:$I$399,0)),"")&amp;IFERROR(CHAR(10)&amp;INDEX(ΔΡΑΣΕΙΣ!$J$2:$J$399,MATCH($G30&amp;"#2",ΔΡΑΣΕΙΣ!$I$2:$I$399,0)),"")&amp;IFERROR(CHAR(10)&amp;INDEX(ΔΡΑΣΕΙΣ!$J$2:$J$399,MATCH($G30&amp;"#3",ΔΡΑΣΕΙΣ!$I$2:$I$399,0)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IFERROR(INDEX(ΔΡΑΣΕΙΣ!$D$2:$D$399,MATCH($B31&amp;"#1",ΔΡΑΣΕΙΣ!$I$2:$I$399,0)),"")</f>
        <v>Αργία / Διακοπές</v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IFERROR(INDEX(ΔΡΑΣΕΙΣ!$D$2:$D$399,MATCH($G31&amp;"#1",ΔΡΑΣΕΙΣ!$I$2:$I$399,0)),"")</f>
        <v/>
      </c>
      <c r="I31" s="28" t="str">
        <f>IF($G31="","",IFERROR(INDEX(ΔΡΑΣΕΙΣ!$J$2:$J$399,MATCH($G31&amp;"#1",ΔΡΑΣΕΙΣ!$I$2:$I$399,0)),"")&amp;IFERROR(CHAR(10)&amp;INDEX(ΔΡΑΣΕΙΣ!$J$2:$J$399,MATCH($G31&amp;"#2",ΔΡΑΣΕΙΣ!$I$2:$I$399,0)),"")&amp;IFERROR(CHAR(10)&amp;INDEX(ΔΡΑΣΕΙΣ!$J$2:$J$399,MATCH($G31&amp;"#3",ΔΡΑΣΕΙΣ!$I$2:$I$399,0)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IFERROR(INDEX(ΔΡΑΣΕΙΣ!$D$2:$D$399,MATCH($G32&amp;"#1",ΔΡΑΣΕΙΣ!$I$2:$I$399,0)),"")</f>
        <v/>
      </c>
      <c r="I32" s="28" t="str">
        <f>IF($G32="","",IFERROR(INDEX(ΔΡΑΣΕΙΣ!$J$2:$J$399,MATCH($G32&amp;"#1",ΔΡΑΣΕΙΣ!$I$2:$I$399,0)),"")&amp;IFERROR(CHAR(10)&amp;INDEX(ΔΡΑΣΕΙΣ!$J$2:$J$399,MATCH($G32&amp;"#2",ΔΡΑΣΕΙΣ!$I$2:$I$399,0)),"")&amp;IFERROR(CHAR(10)&amp;INDEX(ΔΡΑΣΕΙΣ!$J$2:$J$399,MATCH($G32&amp;"#3",ΔΡΑΣΕΙΣ!$I$2:$I$399,0)),""))</f>
        <v/>
      </c>
    </row>
    <row r="33" spans="1:9" ht="20.39999999999999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IFERROR(INDEX(ΔΡΑΣΕΙΣ!$D$2:$D$399,MATCH($B33&amp;"#1",ΔΡΑΣΕΙΣ!$I$2:$I$399,0)),"")</f>
        <v/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IFERROR(INDEX(ΔΡΑΣΕΙΣ!$D$2:$D$399,MATCH($G33&amp;"#1",ΔΡΑΣΕΙΣ!$I$2:$I$399,0)),"")</f>
        <v>Δράση / Πρόγραμμα / Όμιλος</v>
      </c>
      <c r="I33" s="28" t="str">
        <f>IF($G33="","",IFERROR(INDEX(ΔΡΑΣΕΙΣ!$J$2:$J$399,MATCH($G33&amp;"#1",ΔΡΑΣΕΙΣ!$I$2:$I$399,0)),"")&amp;IFERROR(CHAR(10)&amp;INDEX(ΔΡΑΣΕΙΣ!$J$2:$J$399,MATCH($G33&amp;"#2",ΔΡΑΣΕΙΣ!$I$2:$I$399,0)),"")&amp;IFERROR(CHAR(10)&amp;INDEX(ΔΡΑΣΕΙΣ!$J$2:$J$399,MATCH($G33&amp;"#3",ΔΡΑΣΕΙΣ!$I$2:$I$399,0)),""))</f>
        <v>09:00-12.30  Μουσείο Μακεδονικού Αγώνα</v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IFERROR(INDEX(ΔΡΑΣΕΙΣ!$D$2:$D$399,MATCH($G34&amp;"#1",ΔΡΑΣΕΙΣ!$I$2:$I$399,0)),"")</f>
        <v/>
      </c>
      <c r="I34" s="28" t="str">
        <f>IF($G34="","",IFERROR(INDEX(ΔΡΑΣΕΙΣ!$J$2:$J$399,MATCH($G34&amp;"#1",ΔΡΑΣΕΙΣ!$I$2:$I$399,0)),"")&amp;IFERROR(CHAR(10)&amp;INDEX(ΔΡΑΣΕΙΣ!$J$2:$J$399,MATCH($G34&amp;"#2",ΔΡΑΣΕΙΣ!$I$2:$I$399,0)),"")&amp;IFERROR(CHAR(10)&amp;INDEX(ΔΡΑΣΕΙΣ!$J$2:$J$399,MATCH($G34&amp;"#3",ΔΡΑΣΕΙΣ!$I$2:$I$399,0)),""))</f>
        <v/>
      </c>
    </row>
    <row r="36" spans="1:9" x14ac:dyDescent="0.3">
      <c r="A36" s="29" t="s">
        <v>67</v>
      </c>
    </row>
    <row r="37" spans="1:9" ht="15" customHeight="1" x14ac:dyDescent="0.3">
      <c r="A37" s="7"/>
      <c r="B37" s="93" t="s">
        <v>25</v>
      </c>
      <c r="C37" s="93"/>
      <c r="D37" s="93"/>
      <c r="F37" s="12"/>
      <c r="G37" s="93" t="s">
        <v>29</v>
      </c>
      <c r="H37" s="93"/>
      <c r="I37" s="93"/>
    </row>
    <row r="38" spans="1:9" ht="15" customHeight="1" x14ac:dyDescent="0.3">
      <c r="A38" s="9"/>
      <c r="B38" s="93" t="s">
        <v>26</v>
      </c>
      <c r="C38" s="93"/>
      <c r="D38" s="93"/>
      <c r="F38" s="13"/>
      <c r="G38" s="93" t="s">
        <v>30</v>
      </c>
      <c r="H38" s="93"/>
      <c r="I38" s="93"/>
    </row>
    <row r="39" spans="1:9" ht="15" customHeight="1" x14ac:dyDescent="0.3">
      <c r="A39" s="10"/>
      <c r="B39" s="93" t="s">
        <v>27</v>
      </c>
      <c r="C39" s="93"/>
      <c r="D39" s="93"/>
      <c r="F39" s="14"/>
      <c r="G39" s="93" t="s">
        <v>31</v>
      </c>
      <c r="H39" s="93"/>
      <c r="I39" s="93"/>
    </row>
    <row r="40" spans="1:9" ht="15" customHeight="1" x14ac:dyDescent="0.3">
      <c r="A40" s="11"/>
      <c r="B40" s="93" t="s">
        <v>28</v>
      </c>
      <c r="C40" s="93"/>
      <c r="D40" s="93"/>
      <c r="F40" s="15"/>
      <c r="G40" s="93" t="s">
        <v>32</v>
      </c>
      <c r="H40" s="93"/>
      <c r="I40" s="93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36" priority="1">
      <formula>$C4="Αργία / Διακοπές"</formula>
    </cfRule>
    <cfRule type="expression" dxfId="35" priority="2">
      <formula>$C4="Εορτή / Εκκλησιασμός"</formula>
    </cfRule>
    <cfRule type="expression" dxfId="34" priority="3">
      <formula>$C4="Εκδρομή / Επίσκεψη / Περίπατος"</formula>
    </cfRule>
    <cfRule type="expression" dxfId="33" priority="4">
      <formula>$C4="Σύλλογος διδασκόντων"</formula>
    </cfRule>
    <cfRule type="expression" dxfId="32" priority="5">
      <formula>$C4="Ενημέρωση γονέων / Έλεγχοι"</formula>
    </cfRule>
    <cfRule type="expression" dxfId="31" priority="6">
      <formula>$C4="Ορόσημο / Εξετάσεις"</formula>
    </cfRule>
    <cfRule type="expression" dxfId="30" priority="7">
      <formula>$C4="Επιμόρφωση εκπαιδευτικών"</formula>
    </cfRule>
    <cfRule type="expression" dxfId="29" priority="8">
      <formula>$C4="Δράση / Πρόγραμμα / Όμιλος"</formula>
    </cfRule>
    <cfRule type="expression" dxfId="28" priority="9">
      <formula>IF($B4="",0,WEEKDAY($B4,2)&gt;5)</formula>
    </cfRule>
  </conditionalFormatting>
  <conditionalFormatting sqref="F4:I34">
    <cfRule type="expression" dxfId="27" priority="10">
      <formula>$H4="Αργία / Διακοπές"</formula>
    </cfRule>
    <cfRule type="expression" dxfId="26" priority="11">
      <formula>$H4="Εορτή / Εκκλησιασμός"</formula>
    </cfRule>
    <cfRule type="expression" dxfId="25" priority="12">
      <formula>$H4="Εκδρομή / Επίσκεψη / Περίπατος"</formula>
    </cfRule>
    <cfRule type="expression" dxfId="24" priority="13">
      <formula>$H4="Σύλλογος διδασκόντων"</formula>
    </cfRule>
    <cfRule type="expression" dxfId="23" priority="14">
      <formula>$H4="Ενημέρωση γονέων / Έλεγχοι"</formula>
    </cfRule>
    <cfRule type="expression" dxfId="22" priority="15">
      <formula>$H4="Ορόσημο / Εξετάσεις"</formula>
    </cfRule>
    <cfRule type="expression" dxfId="21" priority="16">
      <formula>$H4="Επιμόρφωση εκπαιδευτικών"</formula>
    </cfRule>
    <cfRule type="expression" dxfId="20" priority="17">
      <formula>$H4="Δράση / Πρόγραμμα / Όμιλος"</formula>
    </cfRule>
    <cfRule type="expression" dxfId="1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Z60"/>
  <sheetViews>
    <sheetView showGridLines="0" tabSelected="1" zoomScale="70" zoomScaleNormal="100" workbookViewId="0">
      <selection activeCell="L2" sqref="L2"/>
    </sheetView>
  </sheetViews>
  <sheetFormatPr defaultColWidth="8.6640625" defaultRowHeight="14.4" x14ac:dyDescent="0.3"/>
  <cols>
    <col min="1" max="5" width="34.21875" customWidth="1"/>
    <col min="6" max="7" width="20.33203125" customWidth="1"/>
    <col min="8" max="10" width="3.6640625" customWidth="1"/>
    <col min="11" max="11" width="20.33203125" customWidth="1"/>
    <col min="12" max="12" width="16.6640625" customWidth="1"/>
    <col min="14" max="14" width="16.6640625" customWidth="1"/>
  </cols>
  <sheetData>
    <row r="1" spans="1:26" ht="28.05" customHeight="1" x14ac:dyDescent="0.3">
      <c r="A1" s="89" t="str">
        <f>ΟΔΗΓΙΕΣ!$A$1</f>
        <v>3ο ΓΥΜΝΑΣΙΟ ΠΟΛΙΧΝΗΣ  ·  ΗΜΕΡΟΛΟΓΙΟ ΔΡΑΣΕΩΝ  ·  ΣΧΟΛΙΚΟ ΕΤΟΣ 2026-27</v>
      </c>
      <c r="B1" s="89"/>
      <c r="C1" s="89"/>
      <c r="D1" s="89"/>
      <c r="E1" s="89"/>
      <c r="F1" s="89"/>
      <c r="G1" s="89"/>
      <c r="H1" s="57"/>
      <c r="I1" s="57"/>
      <c r="J1" s="57"/>
      <c r="K1" s="60" t="s">
        <v>89</v>
      </c>
      <c r="L1" s="58"/>
      <c r="M1" s="58"/>
      <c r="N1" s="58" t="s">
        <v>68</v>
      </c>
      <c r="O1" s="58" t="s">
        <v>69</v>
      </c>
      <c r="P1" s="58" t="s">
        <v>70</v>
      </c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34.049999999999997" customHeight="1" thickBot="1" x14ac:dyDescent="0.35">
      <c r="A2" s="90" t="str">
        <f>$L$2&amp;" "&amp;$L$6</f>
        <v>ΝΟΕΜΒΡΙΟΣ 2026</v>
      </c>
      <c r="B2" s="90"/>
      <c r="C2" s="90"/>
      <c r="D2" s="90"/>
      <c r="E2" s="90"/>
      <c r="F2" s="90"/>
      <c r="G2" s="90"/>
      <c r="H2" s="57"/>
      <c r="I2" s="57"/>
      <c r="J2" s="57"/>
      <c r="K2" s="58" t="s">
        <v>90</v>
      </c>
      <c r="L2" s="61" t="s">
        <v>73</v>
      </c>
      <c r="M2" s="58"/>
      <c r="N2" s="58" t="s">
        <v>71</v>
      </c>
      <c r="O2" s="58">
        <v>9</v>
      </c>
      <c r="P2" s="58">
        <v>0</v>
      </c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ht="19.95" customHeight="1" thickBot="1" x14ac:dyDescent="0.35">
      <c r="A3" s="69" t="s">
        <v>129</v>
      </c>
      <c r="B3" s="69" t="s">
        <v>130</v>
      </c>
      <c r="C3" s="69" t="s">
        <v>131</v>
      </c>
      <c r="D3" s="69" t="s">
        <v>132</v>
      </c>
      <c r="E3" s="69" t="s">
        <v>133</v>
      </c>
      <c r="F3" s="70" t="s">
        <v>134</v>
      </c>
      <c r="G3" s="70" t="s">
        <v>135</v>
      </c>
      <c r="H3" s="57"/>
      <c r="I3" s="57"/>
      <c r="J3" s="57"/>
      <c r="K3" s="58"/>
      <c r="L3" s="58"/>
      <c r="M3" s="58"/>
      <c r="N3" s="58" t="s">
        <v>72</v>
      </c>
      <c r="O3" s="58">
        <v>10</v>
      </c>
      <c r="P3" s="58">
        <v>0</v>
      </c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ht="18" customHeight="1" x14ac:dyDescent="0.3">
      <c r="A4" s="68" t="str">
        <f>IF(MONTH($L$7+0)=$L$5,$L$7+0,"")</f>
        <v/>
      </c>
      <c r="B4" s="68" t="str">
        <f>IF(MONTH($L$7+1)=$L$5,$L$7+1,"")</f>
        <v/>
      </c>
      <c r="C4" s="68" t="str">
        <f>IF(MONTH($L$7+2)=$L$5,$L$7+2,"")</f>
        <v/>
      </c>
      <c r="D4" s="68" t="str">
        <f>IF(MONTH($L$7+3)=$L$5,$L$7+3,"")</f>
        <v/>
      </c>
      <c r="E4" s="68" t="str">
        <f>IF(MONTH($L$7+4)=$L$5,$L$7+4,"")</f>
        <v/>
      </c>
      <c r="F4" s="68" t="str">
        <f>IF(MONTH($L$7+5)=$L$5,$L$7+5,"")</f>
        <v/>
      </c>
      <c r="G4" s="68">
        <f>IF(MONTH($L$7+6)=$L$5,$L$7+6,"")</f>
        <v>46327</v>
      </c>
      <c r="H4" s="57"/>
      <c r="I4" s="57"/>
      <c r="J4" s="57"/>
      <c r="K4" s="58"/>
      <c r="L4" s="58"/>
      <c r="M4" s="58"/>
      <c r="N4" s="58" t="s">
        <v>73</v>
      </c>
      <c r="O4" s="58">
        <v>11</v>
      </c>
      <c r="P4" s="58">
        <v>0</v>
      </c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ht="36" customHeight="1" x14ac:dyDescent="0.3">
      <c r="A5" s="63" t="str">
        <f>IF(A4="","",IFERROR(INDEX(ΔΡΑΣΕΙΣ!$J$2:$J$399,MATCH(A4&amp;"#1",ΔΡΑΣΕΙΣ!$I$2:$I$399,0)),"")&amp;IFERROR(CHAR(10)&amp;INDEX(ΔΡΑΣΕΙΣ!$J$2:$J$399,MATCH(A4&amp;"#2",ΔΡΑΣΕΙΣ!$I$2:$I$399,0)),"")&amp;IFERROR(CHAR(10)&amp;INDEX(ΔΡΑΣΕΙΣ!$J$2:$J$399,MATCH(A4&amp;"#3",ΔΡΑΣΕΙΣ!$I$2:$I$399,0)),""))</f>
        <v/>
      </c>
      <c r="B5" s="63" t="str">
        <f>IF(B4="","",IFERROR(INDEX(ΔΡΑΣΕΙΣ!$J$2:$J$399,MATCH(B4&amp;"#1",ΔΡΑΣΕΙΣ!$I$2:$I$399,0)),"")&amp;IFERROR(CHAR(10)&amp;INDEX(ΔΡΑΣΕΙΣ!$J$2:$J$399,MATCH(B4&amp;"#2",ΔΡΑΣΕΙΣ!$I$2:$I$399,0)),"")&amp;IFERROR(CHAR(10)&amp;INDEX(ΔΡΑΣΕΙΣ!$J$2:$J$399,MATCH(B4&amp;"#3",ΔΡΑΣΕΙΣ!$I$2:$I$399,0)),""))</f>
        <v/>
      </c>
      <c r="C5" s="63" t="str">
        <f>IF(C4="","",IFERROR(INDEX(ΔΡΑΣΕΙΣ!$J$2:$J$399,MATCH(C4&amp;"#1",ΔΡΑΣΕΙΣ!$I$2:$I$399,0)),"")&amp;IFERROR(CHAR(10)&amp;INDEX(ΔΡΑΣΕΙΣ!$J$2:$J$399,MATCH(C4&amp;"#2",ΔΡΑΣΕΙΣ!$I$2:$I$399,0)),"")&amp;IFERROR(CHAR(10)&amp;INDEX(ΔΡΑΣΕΙΣ!$J$2:$J$399,MATCH(C4&amp;"#3",ΔΡΑΣΕΙΣ!$I$2:$I$399,0)),""))</f>
        <v/>
      </c>
      <c r="D5" s="63" t="str">
        <f>IF(D4="","",IFERROR(INDEX(ΔΡΑΣΕΙΣ!$J$2:$J$399,MATCH(D4&amp;"#1",ΔΡΑΣΕΙΣ!$I$2:$I$399,0)),"")&amp;IFERROR(CHAR(10)&amp;INDEX(ΔΡΑΣΕΙΣ!$J$2:$J$399,MATCH(D4&amp;"#2",ΔΡΑΣΕΙΣ!$I$2:$I$399,0)),"")&amp;IFERROR(CHAR(10)&amp;INDEX(ΔΡΑΣΕΙΣ!$J$2:$J$399,MATCH(D4&amp;"#3",ΔΡΑΣΕΙΣ!$I$2:$I$399,0)),""))</f>
        <v/>
      </c>
      <c r="E5" s="63" t="str">
        <f>IF(E4="","",IFERROR(INDEX(ΔΡΑΣΕΙΣ!$J$2:$J$399,MATCH(E4&amp;"#1",ΔΡΑΣΕΙΣ!$I$2:$I$399,0)),"")&amp;IFERROR(CHAR(10)&amp;INDEX(ΔΡΑΣΕΙΣ!$J$2:$J$399,MATCH(E4&amp;"#2",ΔΡΑΣΕΙΣ!$I$2:$I$399,0)),"")&amp;IFERROR(CHAR(10)&amp;INDEX(ΔΡΑΣΕΙΣ!$J$2:$J$399,MATCH(E4&amp;"#3",ΔΡΑΣΕΙΣ!$I$2:$I$399,0)),""))</f>
        <v/>
      </c>
      <c r="F5" s="63" t="str">
        <f>IF(F4="","",IFERROR(INDEX(ΔΡΑΣΕΙΣ!$J$2:$J$399,MATCH(F4&amp;"#1",ΔΡΑΣΕΙΣ!$I$2:$I$399,0)),"")&amp;IFERROR(CHAR(10)&amp;INDEX(ΔΡΑΣΕΙΣ!$J$2:$J$399,MATCH(F4&amp;"#2",ΔΡΑΣΕΙΣ!$I$2:$I$399,0)),"")&amp;IFERROR(CHAR(10)&amp;INDEX(ΔΡΑΣΕΙΣ!$J$2:$J$399,MATCH(F4&amp;"#3",ΔΡΑΣΕΙΣ!$I$2:$I$399,0)),""))</f>
        <v/>
      </c>
      <c r="G5" s="63" t="str">
        <f>IF(G4="","",IFERROR(INDEX(ΔΡΑΣΕΙΣ!$J$2:$J$399,MATCH(G4&amp;"#1",ΔΡΑΣΕΙΣ!$I$2:$I$399,0)),"")&amp;IFERROR(CHAR(10)&amp;INDEX(ΔΡΑΣΕΙΣ!$J$2:$J$399,MATCH(G4&amp;"#2",ΔΡΑΣΕΙΣ!$I$2:$I$399,0)),"")&amp;IFERROR(CHAR(10)&amp;INDEX(ΔΡΑΣΕΙΣ!$J$2:$J$399,MATCH(G4&amp;"#3",ΔΡΑΣΕΙΣ!$I$2:$I$399,0)),""))</f>
        <v/>
      </c>
      <c r="H5" s="57"/>
      <c r="I5" s="57"/>
      <c r="J5" s="57"/>
      <c r="K5" s="58" t="s">
        <v>126</v>
      </c>
      <c r="L5" s="58">
        <f>INDEX($O$2:$O$11,MATCH($L$2,$N$2:$N$11,0))</f>
        <v>11</v>
      </c>
      <c r="M5" s="58"/>
      <c r="N5" s="58" t="s">
        <v>74</v>
      </c>
      <c r="O5" s="58">
        <v>12</v>
      </c>
      <c r="P5" s="58">
        <v>0</v>
      </c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ht="19.95" customHeight="1" x14ac:dyDescent="0.3">
      <c r="A6" s="64"/>
      <c r="B6" s="64"/>
      <c r="C6" s="64"/>
      <c r="D6" s="64"/>
      <c r="E6" s="64"/>
      <c r="F6" s="71"/>
      <c r="G6" s="71"/>
      <c r="H6" s="57"/>
      <c r="I6" s="57"/>
      <c r="J6" s="57"/>
      <c r="K6" s="58" t="s">
        <v>127</v>
      </c>
      <c r="L6" s="58">
        <f>ΟΔΗΓΙΕΣ!$B$3+INDEX($P$2:$P$11,MATCH($L$2,$N$2:$N$11,0))</f>
        <v>2026</v>
      </c>
      <c r="M6" s="58"/>
      <c r="N6" s="58" t="s">
        <v>75</v>
      </c>
      <c r="O6" s="58">
        <v>1</v>
      </c>
      <c r="P6" s="58">
        <v>1</v>
      </c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ht="19.95" customHeight="1" x14ac:dyDescent="0.3">
      <c r="A7" s="65"/>
      <c r="B7" s="65"/>
      <c r="C7" s="65"/>
      <c r="D7" s="65"/>
      <c r="E7" s="65"/>
      <c r="F7" s="72"/>
      <c r="G7" s="72"/>
      <c r="H7" s="57"/>
      <c r="I7" s="57"/>
      <c r="J7" s="57"/>
      <c r="K7" s="58" t="s">
        <v>128</v>
      </c>
      <c r="L7" s="59">
        <f>DATE($L$6,$L$5,1)-WEEKDAY(DATE($L$6,$L$5,1),2)+1</f>
        <v>46321</v>
      </c>
      <c r="M7" s="58"/>
      <c r="N7" s="58" t="s">
        <v>76</v>
      </c>
      <c r="O7" s="58">
        <v>2</v>
      </c>
      <c r="P7" s="58">
        <v>1</v>
      </c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9.95" customHeight="1" thickBot="1" x14ac:dyDescent="0.35">
      <c r="A8" s="67"/>
      <c r="B8" s="67"/>
      <c r="C8" s="67"/>
      <c r="D8" s="67"/>
      <c r="E8" s="67"/>
      <c r="F8" s="73"/>
      <c r="G8" s="73"/>
      <c r="H8" s="57"/>
      <c r="I8" s="57"/>
      <c r="J8" s="57"/>
      <c r="K8" s="58"/>
      <c r="L8" s="58"/>
      <c r="M8" s="58"/>
      <c r="N8" s="58" t="s">
        <v>77</v>
      </c>
      <c r="O8" s="58">
        <v>3</v>
      </c>
      <c r="P8" s="58">
        <v>1</v>
      </c>
      <c r="Q8" s="57"/>
      <c r="R8" s="57"/>
      <c r="S8" s="57"/>
      <c r="T8" s="57"/>
      <c r="U8" s="57"/>
      <c r="V8" s="57"/>
      <c r="W8" s="57"/>
      <c r="X8" s="57"/>
      <c r="Y8" s="57"/>
      <c r="Z8" s="57"/>
    </row>
    <row r="9" spans="1:26" ht="18" customHeight="1" x14ac:dyDescent="0.3">
      <c r="A9" s="62">
        <f>IF(MONTH($L$7+7)=$L$5,$L$7+7,"")</f>
        <v>46328</v>
      </c>
      <c r="B9" s="62">
        <f>IF(MONTH($L$7+8)=$L$5,$L$7+8,"")</f>
        <v>46329</v>
      </c>
      <c r="C9" s="62">
        <f>IF(MONTH($L$7+9)=$L$5,$L$7+9,"")</f>
        <v>46330</v>
      </c>
      <c r="D9" s="62">
        <f>IF(MONTH($L$7+10)=$L$5,$L$7+10,"")</f>
        <v>46331</v>
      </c>
      <c r="E9" s="62">
        <f>IF(MONTH($L$7+11)=$L$5,$L$7+11,"")</f>
        <v>46332</v>
      </c>
      <c r="F9" s="62">
        <f>IF(MONTH($L$7+12)=$L$5,$L$7+12,"")</f>
        <v>46333</v>
      </c>
      <c r="G9" s="62">
        <f>IF(MONTH($L$7+13)=$L$5,$L$7+13,"")</f>
        <v>46334</v>
      </c>
      <c r="H9" s="57"/>
      <c r="I9" s="57"/>
      <c r="J9" s="57"/>
      <c r="K9" s="58"/>
      <c r="L9" s="58"/>
      <c r="M9" s="58"/>
      <c r="N9" s="58" t="s">
        <v>78</v>
      </c>
      <c r="O9" s="58">
        <v>4</v>
      </c>
      <c r="P9" s="58">
        <v>1</v>
      </c>
      <c r="Q9" s="57"/>
      <c r="R9" s="57"/>
      <c r="S9" s="57"/>
      <c r="T9" s="57"/>
      <c r="U9" s="57"/>
      <c r="V9" s="57"/>
      <c r="W9" s="57"/>
      <c r="X9" s="57"/>
      <c r="Y9" s="57"/>
      <c r="Z9" s="57"/>
    </row>
    <row r="10" spans="1:26" ht="36" customHeight="1" x14ac:dyDescent="0.3">
      <c r="A10" s="63" t="str">
        <f>IF(A9="","",IFERROR(INDEX(ΔΡΑΣΕΙΣ!$J$2:$J$399,MATCH(A9&amp;"#1",ΔΡΑΣΕΙΣ!$I$2:$I$399,0)),"")&amp;IFERROR(CHAR(10)&amp;INDEX(ΔΡΑΣΕΙΣ!$J$2:$J$399,MATCH(A9&amp;"#2",ΔΡΑΣΕΙΣ!$I$2:$I$399,0)),"")&amp;IFERROR(CHAR(10)&amp;INDEX(ΔΡΑΣΕΙΣ!$J$2:$J$399,MATCH(A9&amp;"#3",ΔΡΑΣΕΙΣ!$I$2:$I$399,0)),""))</f>
        <v/>
      </c>
      <c r="B10" s="63" t="str">
        <f>IF(B9="","",IFERROR(INDEX(ΔΡΑΣΕΙΣ!$J$2:$J$399,MATCH(B9&amp;"#1",ΔΡΑΣΕΙΣ!$I$2:$I$399,0)),"")&amp;IFERROR(CHAR(10)&amp;INDEX(ΔΡΑΣΕΙΣ!$J$2:$J$399,MATCH(B9&amp;"#2",ΔΡΑΣΕΙΣ!$I$2:$I$399,0)),"")&amp;IFERROR(CHAR(10)&amp;INDEX(ΔΡΑΣΕΙΣ!$J$2:$J$399,MATCH(B9&amp;"#3",ΔΡΑΣΕΙΣ!$I$2:$I$399,0)),""))</f>
        <v/>
      </c>
      <c r="C10" s="63" t="str">
        <f>IF(C9="","",IFERROR(INDEX(ΔΡΑΣΕΙΣ!$J$2:$J$399,MATCH(C9&amp;"#1",ΔΡΑΣΕΙΣ!$I$2:$I$399,0)),"")&amp;IFERROR(CHAR(10)&amp;INDEX(ΔΡΑΣΕΙΣ!$J$2:$J$399,MATCH(C9&amp;"#2",ΔΡΑΣΕΙΣ!$I$2:$I$399,0)),"")&amp;IFERROR(CHAR(10)&amp;INDEX(ΔΡΑΣΕΙΣ!$J$2:$J$399,MATCH(C9&amp;"#3",ΔΡΑΣΕΙΣ!$I$2:$I$399,0)),""))</f>
        <v>08:45-11:15  Διαδικτυακή εκπαίδευση «Kids Save Lives»</v>
      </c>
      <c r="D10" s="63" t="str">
        <f>IF(D9="","",IFERROR(INDEX(ΔΡΑΣΕΙΣ!$J$2:$J$399,MATCH(D9&amp;"#1",ΔΡΑΣΕΙΣ!$I$2:$I$399,0)),"")&amp;IFERROR(CHAR(10)&amp;INDEX(ΔΡΑΣΕΙΣ!$J$2:$J$399,MATCH(D9&amp;"#2",ΔΡΑΣΕΙΣ!$I$2:$I$399,0)),"")&amp;IFERROR(CHAR(10)&amp;INDEX(ΔΡΑΣΕΙΣ!$J$2:$J$399,MATCH(D9&amp;"#3",ΔΡΑΣΕΙΣ!$I$2:$I$399,0)),""))</f>
        <v/>
      </c>
      <c r="E10" s="63" t="str">
        <f>IF(E9="","",IFERROR(INDEX(ΔΡΑΣΕΙΣ!$J$2:$J$399,MATCH(E9&amp;"#1",ΔΡΑΣΕΙΣ!$I$2:$I$399,0)),"")&amp;IFERROR(CHAR(10)&amp;INDEX(ΔΡΑΣΕΙΣ!$J$2:$J$399,MATCH(E9&amp;"#2",ΔΡΑΣΕΙΣ!$I$2:$I$399,0)),"")&amp;IFERROR(CHAR(10)&amp;INDEX(ΔΡΑΣΕΙΣ!$J$2:$J$399,MATCH(E9&amp;"#3",ΔΡΑΣΕΙΣ!$I$2:$I$399,0)),""))</f>
        <v/>
      </c>
      <c r="F10" s="63" t="str">
        <f>IF(F9="","",IFERROR(INDEX(ΔΡΑΣΕΙΣ!$J$2:$J$399,MATCH(F9&amp;"#1",ΔΡΑΣΕΙΣ!$I$2:$I$399,0)),"")&amp;IFERROR(CHAR(10)&amp;INDEX(ΔΡΑΣΕΙΣ!$J$2:$J$399,MATCH(F9&amp;"#2",ΔΡΑΣΕΙΣ!$I$2:$I$399,0)),"")&amp;IFERROR(CHAR(10)&amp;INDEX(ΔΡΑΣΕΙΣ!$J$2:$J$399,MATCH(F9&amp;"#3",ΔΡΑΣΕΙΣ!$I$2:$I$399,0)),""))</f>
        <v/>
      </c>
      <c r="G10" s="63" t="str">
        <f>IF(G9="","",IFERROR(INDEX(ΔΡΑΣΕΙΣ!$J$2:$J$399,MATCH(G9&amp;"#1",ΔΡΑΣΕΙΣ!$I$2:$I$399,0)),"")&amp;IFERROR(CHAR(10)&amp;INDEX(ΔΡΑΣΕΙΣ!$J$2:$J$399,MATCH(G9&amp;"#2",ΔΡΑΣΕΙΣ!$I$2:$I$399,0)),"")&amp;IFERROR(CHAR(10)&amp;INDEX(ΔΡΑΣΕΙΣ!$J$2:$J$399,MATCH(G9&amp;"#3",ΔΡΑΣΕΙΣ!$I$2:$I$399,0)),""))</f>
        <v/>
      </c>
      <c r="H10" s="57"/>
      <c r="I10" s="57"/>
      <c r="J10" s="57"/>
      <c r="K10" s="58"/>
      <c r="L10" s="58"/>
      <c r="M10" s="58"/>
      <c r="N10" s="58" t="s">
        <v>79</v>
      </c>
      <c r="O10" s="58">
        <v>5</v>
      </c>
      <c r="P10" s="58">
        <v>1</v>
      </c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ht="19.95" customHeight="1" x14ac:dyDescent="0.3">
      <c r="A11" s="64"/>
      <c r="B11" s="64"/>
      <c r="C11" s="64"/>
      <c r="D11" s="64"/>
      <c r="E11" s="64"/>
      <c r="F11" s="71"/>
      <c r="G11" s="71"/>
      <c r="H11" s="57"/>
      <c r="I11" s="57"/>
      <c r="J11" s="57"/>
      <c r="K11" s="58"/>
      <c r="L11" s="58"/>
      <c r="M11" s="58"/>
      <c r="N11" s="58" t="s">
        <v>80</v>
      </c>
      <c r="O11" s="58">
        <v>6</v>
      </c>
      <c r="P11" s="58">
        <v>1</v>
      </c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spans="1:26" ht="19.95" customHeight="1" x14ac:dyDescent="0.3">
      <c r="A12" s="65"/>
      <c r="B12" s="65"/>
      <c r="C12" s="65"/>
      <c r="D12" s="65"/>
      <c r="E12" s="65"/>
      <c r="F12" s="72"/>
      <c r="G12" s="72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ht="19.95" customHeight="1" thickBot="1" x14ac:dyDescent="0.35">
      <c r="A13" s="67"/>
      <c r="B13" s="67"/>
      <c r="C13" s="67"/>
      <c r="D13" s="67"/>
      <c r="E13" s="67"/>
      <c r="F13" s="73"/>
      <c r="G13" s="73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ht="18" customHeight="1" x14ac:dyDescent="0.3">
      <c r="A14" s="62">
        <f>IF(MONTH($L$7+14)=$L$5,$L$7+14,"")</f>
        <v>46335</v>
      </c>
      <c r="B14" s="62">
        <f>IF(MONTH($L$7+15)=$L$5,$L$7+15,"")</f>
        <v>46336</v>
      </c>
      <c r="C14" s="62">
        <f>IF(MONTH($L$7+16)=$L$5,$L$7+16,"")</f>
        <v>46337</v>
      </c>
      <c r="D14" s="62">
        <f>IF(MONTH($L$7+17)=$L$5,$L$7+17,"")</f>
        <v>46338</v>
      </c>
      <c r="E14" s="62">
        <f>IF(MONTH($L$7+18)=$L$5,$L$7+18,"")</f>
        <v>46339</v>
      </c>
      <c r="F14" s="62">
        <f>IF(MONTH($L$7+19)=$L$5,$L$7+19,"")</f>
        <v>46340</v>
      </c>
      <c r="G14" s="62">
        <f>IF(MONTH($L$7+20)=$L$5,$L$7+20,"")</f>
        <v>46341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36" customHeight="1" x14ac:dyDescent="0.3">
      <c r="A15" s="63" t="str">
        <f>IF(A14="","",IFERROR(INDEX(ΔΡΑΣΕΙΣ!$J$2:$J$399,MATCH(A14&amp;"#1",ΔΡΑΣΕΙΣ!$I$2:$I$399,0)),"")&amp;IFERROR(CHAR(10)&amp;INDEX(ΔΡΑΣΕΙΣ!$J$2:$J$399,MATCH(A14&amp;"#2",ΔΡΑΣΕΙΣ!$I$2:$I$399,0)),"")&amp;IFERROR(CHAR(10)&amp;INDEX(ΔΡΑΣΕΙΣ!$J$2:$J$399,MATCH(A14&amp;"#3",ΔΡΑΣΕΙΣ!$I$2:$I$399,0)),""))</f>
        <v/>
      </c>
      <c r="B15" s="63" t="str">
        <f>IF(B14="","",IFERROR(INDEX(ΔΡΑΣΕΙΣ!$J$2:$J$399,MATCH(B14&amp;"#1",ΔΡΑΣΕΙΣ!$I$2:$I$399,0)),"")&amp;IFERROR(CHAR(10)&amp;INDEX(ΔΡΑΣΕΙΣ!$J$2:$J$399,MATCH(B14&amp;"#2",ΔΡΑΣΕΙΣ!$I$2:$I$399,0)),"")&amp;IFERROR(CHAR(10)&amp;INDEX(ΔΡΑΣΕΙΣ!$J$2:$J$399,MATCH(B14&amp;"#3",ΔΡΑΣΕΙΣ!$I$2:$I$399,0)),""))</f>
        <v/>
      </c>
      <c r="C15" s="63" t="str">
        <f>IF(C14="","",IFERROR(INDEX(ΔΡΑΣΕΙΣ!$J$2:$J$399,MATCH(C14&amp;"#1",ΔΡΑΣΕΙΣ!$I$2:$I$399,0)),"")&amp;IFERROR(CHAR(10)&amp;INDEX(ΔΡΑΣΕΙΣ!$J$2:$J$399,MATCH(C14&amp;"#2",ΔΡΑΣΕΙΣ!$I$2:$I$399,0)),"")&amp;IFERROR(CHAR(10)&amp;INDEX(ΔΡΑΣΕΙΣ!$J$2:$J$399,MATCH(C14&amp;"#3",ΔΡΑΣΕΙΣ!$I$2:$I$399,0)),""))</f>
        <v/>
      </c>
      <c r="D15" s="63" t="str">
        <f>IF(D14="","",IFERROR(INDEX(ΔΡΑΣΕΙΣ!$J$2:$J$399,MATCH(D14&amp;"#1",ΔΡΑΣΕΙΣ!$I$2:$I$399,0)),"")&amp;IFERROR(CHAR(10)&amp;INDEX(ΔΡΑΣΕΙΣ!$J$2:$J$399,MATCH(D14&amp;"#2",ΔΡΑΣΕΙΣ!$I$2:$I$399,0)),"")&amp;IFERROR(CHAR(10)&amp;INDEX(ΔΡΑΣΕΙΣ!$J$2:$J$399,MATCH(D14&amp;"#3",ΔΡΑΣΕΙΣ!$I$2:$I$399,0)),""))</f>
        <v/>
      </c>
      <c r="E15" s="63" t="str">
        <f>IF(E14="","",IFERROR(INDEX(ΔΡΑΣΕΙΣ!$J$2:$J$399,MATCH(E14&amp;"#1",ΔΡΑΣΕΙΣ!$I$2:$I$399,0)),"")&amp;IFERROR(CHAR(10)&amp;INDEX(ΔΡΑΣΕΙΣ!$J$2:$J$399,MATCH(E14&amp;"#2",ΔΡΑΣΕΙΣ!$I$2:$I$399,0)),"")&amp;IFERROR(CHAR(10)&amp;INDEX(ΔΡΑΣΕΙΣ!$J$2:$J$399,MATCH(E14&amp;"#3",ΔΡΑΣΕΙΣ!$I$2:$I$399,0)),""))</f>
        <v/>
      </c>
      <c r="F15" s="63" t="str">
        <f>IF(F14="","",IFERROR(INDEX(ΔΡΑΣΕΙΣ!$J$2:$J$399,MATCH(F14&amp;"#1",ΔΡΑΣΕΙΣ!$I$2:$I$399,0)),"")&amp;IFERROR(CHAR(10)&amp;INDEX(ΔΡΑΣΕΙΣ!$J$2:$J$399,MATCH(F14&amp;"#2",ΔΡΑΣΕΙΣ!$I$2:$I$399,0)),"")&amp;IFERROR(CHAR(10)&amp;INDEX(ΔΡΑΣΕΙΣ!$J$2:$J$399,MATCH(F14&amp;"#3",ΔΡΑΣΕΙΣ!$I$2:$I$399,0)),""))</f>
        <v/>
      </c>
      <c r="G15" s="63" t="str">
        <f>IF(G14="","",IFERROR(INDEX(ΔΡΑΣΕΙΣ!$J$2:$J$399,MATCH(G14&amp;"#1",ΔΡΑΣΕΙΣ!$I$2:$I$399,0)),"")&amp;IFERROR(CHAR(10)&amp;INDEX(ΔΡΑΣΕΙΣ!$J$2:$J$399,MATCH(G14&amp;"#2",ΔΡΑΣΕΙΣ!$I$2:$I$399,0)),"")&amp;IFERROR(CHAR(10)&amp;INDEX(ΔΡΑΣΕΙΣ!$J$2:$J$399,MATCH(G14&amp;"#3",ΔΡΑΣΕΙΣ!$I$2:$I$399,0)),""))</f>
        <v/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spans="1:26" ht="19.95" customHeight="1" x14ac:dyDescent="0.3">
      <c r="A16" s="64"/>
      <c r="B16" s="64"/>
      <c r="C16" s="64"/>
      <c r="D16" s="64"/>
      <c r="E16" s="64"/>
      <c r="F16" s="71"/>
      <c r="G16" s="71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spans="1:26" ht="19.95" customHeight="1" x14ac:dyDescent="0.3">
      <c r="A17" s="65"/>
      <c r="B17" s="65"/>
      <c r="C17" s="65"/>
      <c r="D17" s="65"/>
      <c r="E17" s="65"/>
      <c r="F17" s="72"/>
      <c r="G17" s="72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ht="19.95" customHeight="1" thickBot="1" x14ac:dyDescent="0.35">
      <c r="A18" s="67"/>
      <c r="B18" s="67"/>
      <c r="C18" s="67"/>
      <c r="D18" s="67"/>
      <c r="E18" s="67"/>
      <c r="F18" s="73"/>
      <c r="G18" s="73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spans="1:26" ht="18" customHeight="1" x14ac:dyDescent="0.3">
      <c r="A19" s="62">
        <f>IF(MONTH($L$7+21)=$L$5,$L$7+21,"")</f>
        <v>46342</v>
      </c>
      <c r="B19" s="62">
        <f>IF(MONTH($L$7+22)=$L$5,$L$7+22,"")</f>
        <v>46343</v>
      </c>
      <c r="C19" s="62">
        <f>IF(MONTH($L$7+23)=$L$5,$L$7+23,"")</f>
        <v>46344</v>
      </c>
      <c r="D19" s="62">
        <f>IF(MONTH($L$7+24)=$L$5,$L$7+24,"")</f>
        <v>46345</v>
      </c>
      <c r="E19" s="62">
        <f>IF(MONTH($L$7+25)=$L$5,$L$7+25,"")</f>
        <v>46346</v>
      </c>
      <c r="F19" s="62">
        <f>IF(MONTH($L$7+26)=$L$5,$L$7+26,"")</f>
        <v>46347</v>
      </c>
      <c r="G19" s="62">
        <f>IF(MONTH($L$7+27)=$L$5,$L$7+27,"")</f>
        <v>46348</v>
      </c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ht="36" customHeight="1" x14ac:dyDescent="0.3">
      <c r="A20" s="63" t="str">
        <f>IF(A19="","",IFERROR(INDEX(ΔΡΑΣΕΙΣ!$J$2:$J$399,MATCH(A19&amp;"#1",ΔΡΑΣΕΙΣ!$I$2:$I$399,0)),"")&amp;IFERROR(CHAR(10)&amp;INDEX(ΔΡΑΣΕΙΣ!$J$2:$J$399,MATCH(A19&amp;"#2",ΔΡΑΣΕΙΣ!$I$2:$I$399,0)),"")&amp;IFERROR(CHAR(10)&amp;INDEX(ΔΡΑΣΕΙΣ!$J$2:$J$399,MATCH(A19&amp;"#3",ΔΡΑΣΕΙΣ!$I$2:$I$399,0)),""))</f>
        <v/>
      </c>
      <c r="B20" s="63" t="str">
        <f>IF(B19="","",IFERROR(INDEX(ΔΡΑΣΕΙΣ!$J$2:$J$399,MATCH(B19&amp;"#1",ΔΡΑΣΕΙΣ!$I$2:$I$399,0)),"")&amp;IFERROR(CHAR(10)&amp;INDEX(ΔΡΑΣΕΙΣ!$J$2:$J$399,MATCH(B19&amp;"#2",ΔΡΑΣΕΙΣ!$I$2:$I$399,0)),"")&amp;IFERROR(CHAR(10)&amp;INDEX(ΔΡΑΣΕΙΣ!$J$2:$J$399,MATCH(B19&amp;"#3",ΔΡΑΣΕΙΣ!$I$2:$I$399,0)),""))</f>
        <v>Εκδηλώσεις για την επέτειο του Πολυτεχνείου</v>
      </c>
      <c r="C20" s="63" t="str">
        <f>IF(C19="","",IFERROR(INDEX(ΔΡΑΣΕΙΣ!$J$2:$J$399,MATCH(C19&amp;"#1",ΔΡΑΣΕΙΣ!$I$2:$I$399,0)),"")&amp;IFERROR(CHAR(10)&amp;INDEX(ΔΡΑΣΕΙΣ!$J$2:$J$399,MATCH(C19&amp;"#2",ΔΡΑΣΕΙΣ!$I$2:$I$399,0)),"")&amp;IFERROR(CHAR(10)&amp;INDEX(ΔΡΑΣΕΙΣ!$J$2:$J$399,MATCH(C19&amp;"#3",ΔΡΑΣΕΙΣ!$I$2:$I$399,0)),""))</f>
        <v/>
      </c>
      <c r="D20" s="63" t="str">
        <f>IF(D19="","",IFERROR(INDEX(ΔΡΑΣΕΙΣ!$J$2:$J$399,MATCH(D19&amp;"#1",ΔΡΑΣΕΙΣ!$I$2:$I$399,0)),"")&amp;IFERROR(CHAR(10)&amp;INDEX(ΔΡΑΣΕΙΣ!$J$2:$J$399,MATCH(D19&amp;"#2",ΔΡΑΣΕΙΣ!$I$2:$I$399,0)),"")&amp;IFERROR(CHAR(10)&amp;INDEX(ΔΡΑΣΕΙΣ!$J$2:$J$399,MATCH(D19&amp;"#3",ΔΡΑΣΕΙΣ!$I$2:$I$399,0)),""))</f>
        <v/>
      </c>
      <c r="E20" s="63" t="str">
        <f>IF(E19="","",IFERROR(INDEX(ΔΡΑΣΕΙΣ!$J$2:$J$399,MATCH(E19&amp;"#1",ΔΡΑΣΕΙΣ!$I$2:$I$399,0)),"")&amp;IFERROR(CHAR(10)&amp;INDEX(ΔΡΑΣΕΙΣ!$J$2:$J$399,MATCH(E19&amp;"#2",ΔΡΑΣΕΙΣ!$I$2:$I$399,0)),"")&amp;IFERROR(CHAR(10)&amp;INDEX(ΔΡΑΣΕΙΣ!$J$2:$J$399,MATCH(E19&amp;"#3",ΔΡΑΣΕΙΣ!$I$2:$I$399,0)),""))</f>
        <v/>
      </c>
      <c r="F20" s="63" t="str">
        <f>IF(F19="","",IFERROR(INDEX(ΔΡΑΣΕΙΣ!$J$2:$J$399,MATCH(F19&amp;"#1",ΔΡΑΣΕΙΣ!$I$2:$I$399,0)),"")&amp;IFERROR(CHAR(10)&amp;INDEX(ΔΡΑΣΕΙΣ!$J$2:$J$399,MATCH(F19&amp;"#2",ΔΡΑΣΕΙΣ!$I$2:$I$399,0)),"")&amp;IFERROR(CHAR(10)&amp;INDEX(ΔΡΑΣΕΙΣ!$J$2:$J$399,MATCH(F19&amp;"#3",ΔΡΑΣΕΙΣ!$I$2:$I$399,0)),""))</f>
        <v/>
      </c>
      <c r="G20" s="63" t="str">
        <f>IF(G19="","",IFERROR(INDEX(ΔΡΑΣΕΙΣ!$J$2:$J$399,MATCH(G19&amp;"#1",ΔΡΑΣΕΙΣ!$I$2:$I$399,0)),"")&amp;IFERROR(CHAR(10)&amp;INDEX(ΔΡΑΣΕΙΣ!$J$2:$J$399,MATCH(G19&amp;"#2",ΔΡΑΣΕΙΣ!$I$2:$I$399,0)),"")&amp;IFERROR(CHAR(10)&amp;INDEX(ΔΡΑΣΕΙΣ!$J$2:$J$399,MATCH(G19&amp;"#3",ΔΡΑΣΕΙΣ!$I$2:$I$399,0)),""))</f>
        <v/>
      </c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ht="19.95" customHeight="1" x14ac:dyDescent="0.3">
      <c r="A21" s="64"/>
      <c r="B21" s="64"/>
      <c r="C21" s="64"/>
      <c r="D21" s="64"/>
      <c r="E21" s="64"/>
      <c r="F21" s="71"/>
      <c r="G21" s="71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ht="19.95" customHeight="1" x14ac:dyDescent="0.3">
      <c r="A22" s="65"/>
      <c r="B22" s="65"/>
      <c r="C22" s="65"/>
      <c r="D22" s="65"/>
      <c r="E22" s="65"/>
      <c r="F22" s="72"/>
      <c r="G22" s="72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ht="19.95" customHeight="1" thickBot="1" x14ac:dyDescent="0.35">
      <c r="A23" s="67"/>
      <c r="B23" s="67"/>
      <c r="C23" s="67"/>
      <c r="D23" s="67"/>
      <c r="E23" s="67"/>
      <c r="F23" s="73"/>
      <c r="G23" s="73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8" customHeight="1" x14ac:dyDescent="0.3">
      <c r="A24" s="62">
        <f>IF(MONTH($L$7+28)=$L$5,$L$7+28,"")</f>
        <v>46349</v>
      </c>
      <c r="B24" s="62">
        <f>IF(MONTH($L$7+29)=$L$5,$L$7+29,"")</f>
        <v>46350</v>
      </c>
      <c r="C24" s="62">
        <f>IF(MONTH($L$7+30)=$L$5,$L$7+30,"")</f>
        <v>46351</v>
      </c>
      <c r="D24" s="62">
        <f>IF(MONTH($L$7+31)=$L$5,$L$7+31,"")</f>
        <v>46352</v>
      </c>
      <c r="E24" s="62">
        <f>IF(MONTH($L$7+32)=$L$5,$L$7+32,"")</f>
        <v>46353</v>
      </c>
      <c r="F24" s="62">
        <f>IF(MONTH($L$7+33)=$L$5,$L$7+33,"")</f>
        <v>46354</v>
      </c>
      <c r="G24" s="62">
        <f>IF(MONTH($L$7+34)=$L$5,$L$7+34,"")</f>
        <v>46355</v>
      </c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26" ht="36" customHeight="1" x14ac:dyDescent="0.3">
      <c r="A25" s="63" t="str">
        <f>IF(A24="","",IFERROR(INDEX(ΔΡΑΣΕΙΣ!$J$2:$J$399,MATCH(A24&amp;"#1",ΔΡΑΣΕΙΣ!$I$2:$I$399,0)),"")&amp;IFERROR(CHAR(10)&amp;INDEX(ΔΡΑΣΕΙΣ!$J$2:$J$399,MATCH(A24&amp;"#2",ΔΡΑΣΕΙΣ!$I$2:$I$399,0)),"")&amp;IFERROR(CHAR(10)&amp;INDEX(ΔΡΑΣΕΙΣ!$J$2:$J$399,MATCH(A24&amp;"#3",ΔΡΑΣΕΙΣ!$I$2:$I$399,0)),""))</f>
        <v/>
      </c>
      <c r="B25" s="63" t="str">
        <f>IF(B24="","",IFERROR(INDEX(ΔΡΑΣΕΙΣ!$J$2:$J$399,MATCH(B24&amp;"#1",ΔΡΑΣΕΙΣ!$I$2:$I$399,0)),"")&amp;IFERROR(CHAR(10)&amp;INDEX(ΔΡΑΣΕΙΣ!$J$2:$J$399,MATCH(B24&amp;"#2",ΔΡΑΣΕΙΣ!$I$2:$I$399,0)),"")&amp;IFERROR(CHAR(10)&amp;INDEX(ΔΡΑΣΕΙΣ!$J$2:$J$399,MATCH(B24&amp;"#3",ΔΡΑΣΕΙΣ!$I$2:$I$399,0)),""))</f>
        <v/>
      </c>
      <c r="C25" s="63" t="str">
        <f>IF(C24="","",IFERROR(INDEX(ΔΡΑΣΕΙΣ!$J$2:$J$399,MATCH(C24&amp;"#1",ΔΡΑΣΕΙΣ!$I$2:$I$399,0)),"")&amp;IFERROR(CHAR(10)&amp;INDEX(ΔΡΑΣΕΙΣ!$J$2:$J$399,MATCH(C24&amp;"#2",ΔΡΑΣΕΙΣ!$I$2:$I$399,0)),"")&amp;IFERROR(CHAR(10)&amp;INDEX(ΔΡΑΣΕΙΣ!$J$2:$J$399,MATCH(C24&amp;"#3",ΔΡΑΣΕΙΣ!$I$2:$I$399,0)),""))</f>
        <v/>
      </c>
      <c r="D25" s="63" t="str">
        <f>IF(D24="","",IFERROR(INDEX(ΔΡΑΣΕΙΣ!$J$2:$J$399,MATCH(D24&amp;"#1",ΔΡΑΣΕΙΣ!$I$2:$I$399,0)),"")&amp;IFERROR(CHAR(10)&amp;INDEX(ΔΡΑΣΕΙΣ!$J$2:$J$399,MATCH(D24&amp;"#2",ΔΡΑΣΕΙΣ!$I$2:$I$399,0)),"")&amp;IFERROR(CHAR(10)&amp;INDEX(ΔΡΑΣΕΙΣ!$J$2:$J$399,MATCH(D24&amp;"#3",ΔΡΑΣΕΙΣ!$I$2:$I$399,0)),""))</f>
        <v/>
      </c>
      <c r="E25" s="63" t="str">
        <f>IF(E24="","",IFERROR(INDEX(ΔΡΑΣΕΙΣ!$J$2:$J$399,MATCH(E24&amp;"#1",ΔΡΑΣΕΙΣ!$I$2:$I$399,0)),"")&amp;IFERROR(CHAR(10)&amp;INDEX(ΔΡΑΣΕΙΣ!$J$2:$J$399,MATCH(E24&amp;"#2",ΔΡΑΣΕΙΣ!$I$2:$I$399,0)),"")&amp;IFERROR(CHAR(10)&amp;INDEX(ΔΡΑΣΕΙΣ!$J$2:$J$399,MATCH(E24&amp;"#3",ΔΡΑΣΕΙΣ!$I$2:$I$399,0)),""))</f>
        <v/>
      </c>
      <c r="F25" s="63" t="str">
        <f>IF(F24="","",IFERROR(INDEX(ΔΡΑΣΕΙΣ!$J$2:$J$399,MATCH(F24&amp;"#1",ΔΡΑΣΕΙΣ!$I$2:$I$399,0)),"")&amp;IFERROR(CHAR(10)&amp;INDEX(ΔΡΑΣΕΙΣ!$J$2:$J$399,MATCH(F24&amp;"#2",ΔΡΑΣΕΙΣ!$I$2:$I$399,0)),"")&amp;IFERROR(CHAR(10)&amp;INDEX(ΔΡΑΣΕΙΣ!$J$2:$J$399,MATCH(F24&amp;"#3",ΔΡΑΣΕΙΣ!$I$2:$I$399,0)),""))</f>
        <v/>
      </c>
      <c r="G25" s="63" t="str">
        <f>IF(G24="","",IFERROR(INDEX(ΔΡΑΣΕΙΣ!$J$2:$J$399,MATCH(G24&amp;"#1",ΔΡΑΣΕΙΣ!$I$2:$I$399,0)),"")&amp;IFERROR(CHAR(10)&amp;INDEX(ΔΡΑΣΕΙΣ!$J$2:$J$399,MATCH(G24&amp;"#2",ΔΡΑΣΕΙΣ!$I$2:$I$399,0)),"")&amp;IFERROR(CHAR(10)&amp;INDEX(ΔΡΑΣΕΙΣ!$J$2:$J$399,MATCH(G24&amp;"#3",ΔΡΑΣΕΙΣ!$I$2:$I$399,0)),""))</f>
        <v/>
      </c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spans="1:26" ht="19.95" customHeight="1" x14ac:dyDescent="0.3">
      <c r="A26" s="64"/>
      <c r="B26" s="64"/>
      <c r="C26" s="64"/>
      <c r="D26" s="64"/>
      <c r="E26" s="64"/>
      <c r="F26" s="71"/>
      <c r="G26" s="71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26" ht="19.95" customHeight="1" x14ac:dyDescent="0.3">
      <c r="A27" s="65"/>
      <c r="B27" s="65"/>
      <c r="C27" s="65"/>
      <c r="D27" s="65"/>
      <c r="E27" s="65"/>
      <c r="F27" s="72"/>
      <c r="G27" s="72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spans="1:26" ht="19.95" customHeight="1" thickBot="1" x14ac:dyDescent="0.35">
      <c r="A28" s="67"/>
      <c r="B28" s="67"/>
      <c r="C28" s="67"/>
      <c r="D28" s="67"/>
      <c r="E28" s="67"/>
      <c r="F28" s="73"/>
      <c r="G28" s="73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26" ht="18" customHeight="1" x14ac:dyDescent="0.3">
      <c r="A29" s="62">
        <f>IF(MONTH($L$7+35)=$L$5,$L$7+35,"")</f>
        <v>46356</v>
      </c>
      <c r="B29" s="62" t="str">
        <f>IF(MONTH($L$7+36)=$L$5,$L$7+36,"")</f>
        <v/>
      </c>
      <c r="C29" s="62" t="str">
        <f>IF(MONTH($L$7+37)=$L$5,$L$7+37,"")</f>
        <v/>
      </c>
      <c r="D29" s="62" t="str">
        <f>IF(MONTH($L$7+38)=$L$5,$L$7+38,"")</f>
        <v/>
      </c>
      <c r="E29" s="62" t="str">
        <f>IF(MONTH($L$7+39)=$L$5,$L$7+39,"")</f>
        <v/>
      </c>
      <c r="F29" s="62" t="str">
        <f>IF(MONTH($L$7+40)=$L$5,$L$7+40,"")</f>
        <v/>
      </c>
      <c r="G29" s="62" t="str">
        <f>IF(MONTH($L$7+41)=$L$5,$L$7+41,"")</f>
        <v/>
      </c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spans="1:26" ht="36" customHeight="1" x14ac:dyDescent="0.3">
      <c r="A30" s="63" t="str">
        <f>IF(A29="","",IFERROR(INDEX(ΔΡΑΣΕΙΣ!$J$2:$J$399,MATCH(A29&amp;"#1",ΔΡΑΣΕΙΣ!$I$2:$I$399,0)),"")&amp;IFERROR(CHAR(10)&amp;INDEX(ΔΡΑΣΕΙΣ!$J$2:$J$399,MATCH(A29&amp;"#2",ΔΡΑΣΕΙΣ!$I$2:$I$399,0)),"")&amp;IFERROR(CHAR(10)&amp;INDEX(ΔΡΑΣΕΙΣ!$J$2:$J$399,MATCH(A29&amp;"#3",ΔΡΑΣΕΙΣ!$I$2:$I$399,0)),""))</f>
        <v>09:00-12.30  Μουσείο Μακεδονικού Αγώνα</v>
      </c>
      <c r="B30" s="63" t="str">
        <f>IF(B29="","",IFERROR(INDEX(ΔΡΑΣΕΙΣ!$J$2:$J$399,MATCH(B29&amp;"#1",ΔΡΑΣΕΙΣ!$I$2:$I$399,0)),"")&amp;IFERROR(CHAR(10)&amp;INDEX(ΔΡΑΣΕΙΣ!$J$2:$J$399,MATCH(B29&amp;"#2",ΔΡΑΣΕΙΣ!$I$2:$I$399,0)),"")&amp;IFERROR(CHAR(10)&amp;INDEX(ΔΡΑΣΕΙΣ!$J$2:$J$399,MATCH(B29&amp;"#3",ΔΡΑΣΕΙΣ!$I$2:$I$399,0)),""))</f>
        <v/>
      </c>
      <c r="C30" s="63" t="str">
        <f>IF(C29="","",IFERROR(INDEX(ΔΡΑΣΕΙΣ!$J$2:$J$399,MATCH(C29&amp;"#1",ΔΡΑΣΕΙΣ!$I$2:$I$399,0)),"")&amp;IFERROR(CHAR(10)&amp;INDEX(ΔΡΑΣΕΙΣ!$J$2:$J$399,MATCH(C29&amp;"#2",ΔΡΑΣΕΙΣ!$I$2:$I$399,0)),"")&amp;IFERROR(CHAR(10)&amp;INDEX(ΔΡΑΣΕΙΣ!$J$2:$J$399,MATCH(C29&amp;"#3",ΔΡΑΣΕΙΣ!$I$2:$I$399,0)),""))</f>
        <v/>
      </c>
      <c r="D30" s="63" t="str">
        <f>IF(D29="","",IFERROR(INDEX(ΔΡΑΣΕΙΣ!$J$2:$J$399,MATCH(D29&amp;"#1",ΔΡΑΣΕΙΣ!$I$2:$I$399,0)),"")&amp;IFERROR(CHAR(10)&amp;INDEX(ΔΡΑΣΕΙΣ!$J$2:$J$399,MATCH(D29&amp;"#2",ΔΡΑΣΕΙΣ!$I$2:$I$399,0)),"")&amp;IFERROR(CHAR(10)&amp;INDEX(ΔΡΑΣΕΙΣ!$J$2:$J$399,MATCH(D29&amp;"#3",ΔΡΑΣΕΙΣ!$I$2:$I$399,0)),""))</f>
        <v/>
      </c>
      <c r="E30" s="63" t="str">
        <f>IF(E29="","",IFERROR(INDEX(ΔΡΑΣΕΙΣ!$J$2:$J$399,MATCH(E29&amp;"#1",ΔΡΑΣΕΙΣ!$I$2:$I$399,0)),"")&amp;IFERROR(CHAR(10)&amp;INDEX(ΔΡΑΣΕΙΣ!$J$2:$J$399,MATCH(E29&amp;"#2",ΔΡΑΣΕΙΣ!$I$2:$I$399,0)),"")&amp;IFERROR(CHAR(10)&amp;INDEX(ΔΡΑΣΕΙΣ!$J$2:$J$399,MATCH(E29&amp;"#3",ΔΡΑΣΕΙΣ!$I$2:$I$399,0)),""))</f>
        <v/>
      </c>
      <c r="F30" s="63" t="str">
        <f>IF(F29="","",IFERROR(INDEX(ΔΡΑΣΕΙΣ!$J$2:$J$399,MATCH(F29&amp;"#1",ΔΡΑΣΕΙΣ!$I$2:$I$399,0)),"")&amp;IFERROR(CHAR(10)&amp;INDEX(ΔΡΑΣΕΙΣ!$J$2:$J$399,MATCH(F29&amp;"#2",ΔΡΑΣΕΙΣ!$I$2:$I$399,0)),"")&amp;IFERROR(CHAR(10)&amp;INDEX(ΔΡΑΣΕΙΣ!$J$2:$J$399,MATCH(F29&amp;"#3",ΔΡΑΣΕΙΣ!$I$2:$I$399,0)),""))</f>
        <v/>
      </c>
      <c r="G30" s="63" t="str">
        <f>IF(G29="","",IFERROR(INDEX(ΔΡΑΣΕΙΣ!$J$2:$J$399,MATCH(G29&amp;"#1",ΔΡΑΣΕΙΣ!$I$2:$I$399,0)),"")&amp;IFERROR(CHAR(10)&amp;INDEX(ΔΡΑΣΕΙΣ!$J$2:$J$399,MATCH(G29&amp;"#2",ΔΡΑΣΕΙΣ!$I$2:$I$399,0)),"")&amp;IFERROR(CHAR(10)&amp;INDEX(ΔΡΑΣΕΙΣ!$J$2:$J$399,MATCH(G29&amp;"#3",ΔΡΑΣΕΙΣ!$I$2:$I$399,0)),""))</f>
        <v/>
      </c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26" ht="19.95" customHeight="1" x14ac:dyDescent="0.3">
      <c r="A31" s="64"/>
      <c r="B31" s="64"/>
      <c r="C31" s="64"/>
      <c r="D31" s="64"/>
      <c r="E31" s="64"/>
      <c r="F31" s="71"/>
      <c r="G31" s="71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spans="1:26" ht="19.95" customHeight="1" x14ac:dyDescent="0.3">
      <c r="A32" s="65"/>
      <c r="B32" s="65"/>
      <c r="C32" s="65"/>
      <c r="D32" s="65"/>
      <c r="E32" s="65"/>
      <c r="F32" s="72"/>
      <c r="G32" s="72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26" ht="19.95" customHeight="1" thickBot="1" x14ac:dyDescent="0.35">
      <c r="A33" s="66"/>
      <c r="B33" s="66"/>
      <c r="C33" s="66"/>
      <c r="D33" s="66"/>
      <c r="E33" s="66"/>
      <c r="F33" s="74"/>
      <c r="G33" s="74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spans="1:26" ht="7.95" customHeight="1" x14ac:dyDescent="0.3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26" ht="13.95" customHeight="1" thickBot="1" x14ac:dyDescent="0.35">
      <c r="A35" s="60" t="s">
        <v>67</v>
      </c>
      <c r="B35" s="57"/>
      <c r="C35" s="57"/>
      <c r="D35" s="57"/>
      <c r="E35" s="60" t="s">
        <v>136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spans="1:26" ht="18" customHeight="1" thickBot="1" x14ac:dyDescent="0.35">
      <c r="A36" s="75" t="str">
        <f>ΚΑΤΗΓΟΡΙΕΣ!$A$2</f>
        <v>Αργία / Διακοπές</v>
      </c>
      <c r="B36" s="76" t="str">
        <f>ΚΑΤΗΓΟΡΙΕΣ!$A$3</f>
        <v>Εορτή / Εκκλησιασμός</v>
      </c>
      <c r="C36" s="77" t="str">
        <f>ΚΑΤΗΓΟΡΙΕΣ!$A$4</f>
        <v>Εκδρομή / Επίσκεψη / Περίπατος</v>
      </c>
      <c r="D36" s="81" t="str">
        <f>ΚΑΤΗΓΟΡΙΕΣ!$A$5</f>
        <v>Σύλλογος διδασκόντων</v>
      </c>
      <c r="E36" s="83"/>
      <c r="F36" s="84"/>
      <c r="G36" s="85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26" ht="18" customHeight="1" thickBot="1" x14ac:dyDescent="0.35">
      <c r="A37" s="78" t="str">
        <f>ΚΑΤΗΓΟΡΙΕΣ!$A$6</f>
        <v>Ενημέρωση γονέων / Έλεγχοι</v>
      </c>
      <c r="B37" s="79" t="str">
        <f>ΚΑΤΗΓΟΡΙΕΣ!$A$7</f>
        <v>Ορόσημο / Εξετάσεις</v>
      </c>
      <c r="C37" s="80" t="str">
        <f>ΚΑΤΗΓΟΡΙΕΣ!$A$8</f>
        <v>Επιμόρφωση εκπαιδευτικών</v>
      </c>
      <c r="D37" s="82" t="str">
        <f>ΚΑΤΗΓΟΡΙΕΣ!$A$9</f>
        <v>Δράση / Πρόγραμμα / Όμιλος</v>
      </c>
      <c r="E37" s="86"/>
      <c r="F37" s="87"/>
      <c r="G37" s="88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spans="1:26" ht="15" customHeight="1" x14ac:dyDescent="0.3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spans="1:26" ht="15" customHeight="1" x14ac:dyDescent="0.3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spans="1:26" ht="15" customHeight="1" x14ac:dyDescent="0.3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spans="1:26" x14ac:dyDescent="0.3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spans="1:26" x14ac:dyDescent="0.3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spans="1:26" x14ac:dyDescent="0.3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spans="1:26" x14ac:dyDescent="0.3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spans="1:26" x14ac:dyDescent="0.3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spans="1:26" x14ac:dyDescent="0.3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spans="1:26" x14ac:dyDescent="0.3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spans="1:26" x14ac:dyDescent="0.3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spans="1:26" x14ac:dyDescent="0.3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spans="1:26" x14ac:dyDescent="0.3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spans="1:26" x14ac:dyDescent="0.3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spans="1:26" x14ac:dyDescent="0.3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spans="1:26" x14ac:dyDescent="0.3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spans="1:26" x14ac:dyDescent="0.3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spans="1:26" x14ac:dyDescent="0.3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spans="1:26" x14ac:dyDescent="0.3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spans="1:26" x14ac:dyDescent="0.3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spans="1:26" x14ac:dyDescent="0.3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spans="1:26" x14ac:dyDescent="0.3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spans="1:26" x14ac:dyDescent="0.3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</sheetData>
  <mergeCells count="2">
    <mergeCell ref="A1:G1"/>
    <mergeCell ref="A2:G2"/>
  </mergeCells>
  <conditionalFormatting sqref="A4:G33">
    <cfRule type="expression" dxfId="1" priority="48">
      <formula>INDEX($A$1:$G$40,4+5*INT((ROW()-4)/5),COLUMN())=""</formula>
    </cfRule>
  </conditionalFormatting>
  <dataValidations count="1">
    <dataValidation type="list" allowBlank="1" showInputMessage="1" showErrorMessage="1" sqref="L2" xr:uid="{B636D5C0-CF2C-467A-B6BC-D854A78311B2}">
      <formula1>$N$2:$N$11</formula1>
    </dataValidation>
  </dataValidations>
  <printOptions horizontalCentered="1" verticalCentered="1"/>
  <pageMargins left="0.30555555555555558" right="0.30555555555555558" top="0.30555555555555558" bottom="0.30555555555555558" header="0.1388888888888889" footer="0.1388888888888889"/>
  <pageSetup paperSize="8" scale="87" orientation="landscape" horizontalDpi="300" verticalDpi="300" r:id="rId1"/>
  <headerFooter>
    <oddFooter>&amp;L3ο ΓΥΜΝΑΣΙΟ ΠΟΛΙΧΝΗΣ&amp;R&amp;D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0" id="{B3EF608C-E088-471A-A03D-4F1AAC7878B1}">
            <xm:f>AND(MOD(ROW()-4,5)&lt;2,IFERROR(INDEX(ΔΡΑΣΕΙΣ!$D$2:$D$399,MATCH(INDEX($A$1:$G$40,4+5*INT((ROW()-4)/5),COLUMN())&amp;"#1",ΔΡΑΣΕΙΣ!$I$2:$I$399,0)),"")="Αργία / Διακοπές")</xm:f>
            <x14:dxf>
              <fill>
                <patternFill patternType="solid">
                  <fgColor indexed="64"/>
                  <bgColor rgb="FFF4B6B6"/>
                </patternFill>
              </fill>
            </x14:dxf>
          </x14:cfRule>
          <x14:cfRule type="expression" priority="41" id="{C988E767-8D68-4263-8E7C-48CDEF0F61FA}">
            <xm:f>AND(MOD(ROW()-4,5)&lt;2,IFERROR(INDEX(ΔΡΑΣΕΙΣ!$D$2:$D$399,MATCH(INDEX($A$1:$G$40,4+5*INT((ROW()-4)/5),COLUMN())&amp;"#1",ΔΡΑΣΕΙΣ!$I$2:$I$399,0)),"")="Εορτή / Εκκλησιασμός")</xm:f>
            <x14:dxf>
              <fill>
                <patternFill patternType="solid">
                  <fgColor indexed="64"/>
                  <bgColor rgb="FFFFE08A"/>
                </patternFill>
              </fill>
            </x14:dxf>
          </x14:cfRule>
          <x14:cfRule type="expression" priority="42" id="{4B5095F0-BDBC-40B9-A1E4-3D37412393A3}">
            <xm:f>AND(MOD(ROW()-4,5)&lt;2,IFERROR(INDEX(ΔΡΑΣΕΙΣ!$D$2:$D$399,MATCH(INDEX($A$1:$G$40,4+5*INT((ROW()-4)/5),COLUMN())&amp;"#1",ΔΡΑΣΕΙΣ!$I$2:$I$399,0)),"")="Εκδρομή / Επίσκεψη / Περίπατος")</xm:f>
            <x14:dxf>
              <fill>
                <patternFill patternType="solid">
                  <fgColor indexed="64"/>
                  <bgColor rgb="FFB7DE9C"/>
                </patternFill>
              </fill>
            </x14:dxf>
          </x14:cfRule>
          <x14:cfRule type="expression" priority="43" id="{AECF0E27-2D69-465C-90ED-E3DED4919BA0}">
            <xm:f>AND(MOD(ROW()-4,5)&lt;2,IFERROR(INDEX(ΔΡΑΣΕΙΣ!$D$2:$D$399,MATCH(INDEX($A$1:$G$40,4+5*INT((ROW()-4)/5),COLUMN())&amp;"#1",ΔΡΑΣΕΙΣ!$I$2:$I$399,0)),"")="Σύλλογος διδασκόντων")</xm:f>
            <x14:dxf>
              <fill>
                <patternFill patternType="solid">
                  <fgColor indexed="64"/>
                  <bgColor rgb="FFD0CECE"/>
                </patternFill>
              </fill>
            </x14:dxf>
          </x14:cfRule>
          <x14:cfRule type="expression" priority="44" id="{7D09B08E-1FEB-439D-81F9-55F8F11993C2}">
            <xm:f>AND(MOD(ROW()-4,5)&lt;2,IFERROR(INDEX(ΔΡΑΣΕΙΣ!$D$2:$D$399,MATCH(INDEX($A$1:$G$40,4+5*INT((ROW()-4)/5),COLUMN())&amp;"#1",ΔΡΑΣΕΙΣ!$I$2:$I$399,0)),"")="Ενημέρωση γονέων / Έλεγχοι")</xm:f>
            <x14:dxf>
              <fill>
                <patternFill patternType="solid">
                  <fgColor indexed="64"/>
                  <bgColor rgb="FFF9C08A"/>
                </patternFill>
              </fill>
            </x14:dxf>
          </x14:cfRule>
          <x14:cfRule type="expression" priority="45" id="{450C170E-AD0C-4D77-B6F9-CCB55D1C5AE2}">
            <xm:f>AND(MOD(ROW()-4,5)&lt;2,IFERROR(INDEX(ΔΡΑΣΕΙΣ!$D$2:$D$399,MATCH(INDEX($A$1:$G$40,4+5*INT((ROW()-4)/5),COLUMN())&amp;"#1",ΔΡΑΣΕΙΣ!$I$2:$I$399,0)),"")="Ορόσημο / Εξετάσεις")</xm:f>
            <x14:dxf>
              <fill>
                <patternFill patternType="solid">
                  <fgColor indexed="64"/>
                  <bgColor rgb="FFA9CDEB"/>
                </patternFill>
              </fill>
            </x14:dxf>
          </x14:cfRule>
          <x14:cfRule type="expression" priority="46" id="{14C7C226-D7F4-4EF2-85F7-55F6ABD09DDD}">
            <xm:f>AND(MOD(ROW()-4,5)&lt;2,IFERROR(INDEX(ΔΡΑΣΕΙΣ!$D$2:$D$399,MATCH(INDEX($A$1:$G$40,4+5*INT((ROW()-4)/5),COLUMN())&amp;"#1",ΔΡΑΣΕΙΣ!$I$2:$I$399,0)),"")="Επιμόρφωση εκπαιδευτικών")</xm:f>
            <x14:dxf>
              <fill>
                <patternFill patternType="solid">
                  <fgColor indexed="64"/>
                  <bgColor rgb="FF9FD8CE"/>
                </patternFill>
              </fill>
            </x14:dxf>
          </x14:cfRule>
          <x14:cfRule type="expression" priority="47" id="{8B64F24B-C07F-4B38-8884-DF72FDD4D37A}">
            <xm:f>AND(MOD(ROW()-4,5)&lt;2,IFERROR(INDEX(ΔΡΑΣΕΙΣ!$D$2:$D$399,MATCH(INDEX($A$1:$G$40,4+5*INT((ROW()-4)/5),COLUMN())&amp;"#1",ΔΡΑΣΕΙΣ!$I$2:$I$399,0)),"")="Δράση / Πρόγραμμα / Όμιλος")</xm:f>
            <x14:dxf>
              <fill>
                <patternFill patternType="solid">
                  <fgColor indexed="64"/>
                  <bgColor rgb="FFC4B5DC"/>
                </patternFill>
              </fill>
            </x14:dxf>
          </x14:cfRule>
          <xm:sqref>A4:G33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14995-AB9B-4AD7-9331-7E6E9854CA91}">
  <sheetPr>
    <pageSetUpPr fitToPage="1"/>
  </sheetPr>
  <dimension ref="A1:K44"/>
  <sheetViews>
    <sheetView showGridLines="0" zoomScaleNormal="100" workbookViewId="0">
      <selection activeCell="L5" sqref="L5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96" t="s">
        <v>0</v>
      </c>
      <c r="B1" s="94"/>
      <c r="C1" s="94"/>
      <c r="D1" s="94"/>
      <c r="F1" s="36" t="s">
        <v>89</v>
      </c>
      <c r="G1" s="34"/>
      <c r="I1" t="s">
        <v>68</v>
      </c>
      <c r="J1" t="s">
        <v>69</v>
      </c>
      <c r="K1" t="s">
        <v>70</v>
      </c>
    </row>
    <row r="2" spans="1:11" ht="24" customHeight="1" x14ac:dyDescent="0.3">
      <c r="A2" s="97" t="str">
        <f>$G$2&amp;" "&amp;$G$6</f>
        <v>ΝΟΕΜΒΡΙΟΣ 2026</v>
      </c>
      <c r="B2" s="95"/>
      <c r="C2" s="95"/>
      <c r="D2" s="95"/>
      <c r="F2" s="34" t="s">
        <v>90</v>
      </c>
      <c r="G2" s="39" t="s">
        <v>73</v>
      </c>
      <c r="I2" t="s">
        <v>71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65</v>
      </c>
      <c r="C3" s="24" t="s">
        <v>33</v>
      </c>
      <c r="D3" s="24" t="s">
        <v>66</v>
      </c>
      <c r="F3" s="34"/>
      <c r="G3" s="34"/>
      <c r="I3" t="s">
        <v>72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IFERROR(INDEX(ΔΡΑΣΕΙΣ!$D$2:$D$399,MATCH($B4&amp;"#1",ΔΡΑΣΕΙΣ!$I$2:$I$399,0)),"")</f>
        <v/>
      </c>
      <c r="D4" s="28" t="str">
        <f>IF($B4="","",IFERROR(INDEX(ΔΡΑΣΕΙΣ!$J$2:$J$399,MATCH($B4&amp;"#1",ΔΡΑΣΕΙΣ!$I$2:$I$399,0)),"")&amp;IFERROR(CHAR(10)&amp;INDEX(ΔΡΑΣΕΙΣ!$J$2:$J$399,MATCH($B4&amp;"#2",ΔΡΑΣΕΙΣ!$I$2:$I$399,0)),"")&amp;IFERROR(CHAR(10)&amp;INDEX(ΔΡΑΣΕΙΣ!$J$2:$J$399,MATCH($B4&amp;"#3",ΔΡΑΣΕΙΣ!$I$2:$I$399,0)),""))</f>
        <v/>
      </c>
      <c r="F4" s="34"/>
      <c r="G4" s="34"/>
      <c r="I4" t="s">
        <v>73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IFERROR(INDEX(ΔΡΑΣΕΙΣ!$D$2:$D$399,MATCH($B5&amp;"#1",ΔΡΑΣΕΙΣ!$I$2:$I$399,0)),"")</f>
        <v/>
      </c>
      <c r="D5" s="28" t="str">
        <f>IF($B5="","",IFERROR(INDEX(ΔΡΑΣΕΙΣ!$J$2:$J$399,MATCH($B5&amp;"#1",ΔΡΑΣΕΙΣ!$I$2:$I$399,0)),"")&amp;IFERROR(CHAR(10)&amp;INDEX(ΔΡΑΣΕΙΣ!$J$2:$J$399,MATCH($B5&amp;"#2",ΔΡΑΣΕΙΣ!$I$2:$I$399,0)),"")&amp;IFERROR(CHAR(10)&amp;INDEX(ΔΡΑΣΕΙΣ!$J$2:$J$399,MATCH($B5&amp;"#3",ΔΡΑΣΕΙΣ!$I$2:$I$399,0)),""))</f>
        <v/>
      </c>
      <c r="F5" s="34" t="s">
        <v>84</v>
      </c>
      <c r="G5" s="34">
        <f>INDEX($J$2:$J$11,MATCH($G$2,$I$2:$I$11,0))</f>
        <v>11</v>
      </c>
      <c r="I5" t="s">
        <v>74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IFERROR(INDEX(ΔΡΑΣΕΙΣ!$D$2:$D$399,MATCH($B6&amp;"#1",ΔΡΑΣΕΙΣ!$I$2:$I$399,0)),"")</f>
        <v/>
      </c>
      <c r="D6" s="28" t="str">
        <f>IF($B6="","",IFERROR(INDEX(ΔΡΑΣΕΙΣ!$J$2:$J$399,MATCH($B6&amp;"#1",ΔΡΑΣΕΙΣ!$I$2:$I$399,0)),"")&amp;IFERROR(CHAR(10)&amp;INDEX(ΔΡΑΣΕΙΣ!$J$2:$J$399,MATCH($B6&amp;"#2",ΔΡΑΣΕΙΣ!$I$2:$I$399,0)),"")&amp;IFERROR(CHAR(10)&amp;INDEX(ΔΡΑΣΕΙΣ!$J$2:$J$399,MATCH($B6&amp;"#3",ΔΡΑΣΕΙΣ!$I$2:$I$399,0)),""))</f>
        <v/>
      </c>
      <c r="F6" s="34" t="s">
        <v>85</v>
      </c>
      <c r="G6" s="34">
        <f>ΟΔΗΓΙΕΣ!$B$3+INDEX($K$2:$K$11,MATCH($G$2,$I$2:$I$11,0))</f>
        <v>2026</v>
      </c>
      <c r="I6" t="s">
        <v>75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IFERROR(INDEX(ΔΡΑΣΕΙΣ!$D$2:$D$399,MATCH($B7&amp;"#1",ΔΡΑΣΕΙΣ!$I$2:$I$399,0)),"")</f>
        <v>Δράση / Πρόγραμμα / Όμιλος</v>
      </c>
      <c r="D7" s="28" t="str">
        <f>IF($B7="","",IFERROR(INDEX(ΔΡΑΣΕΙΣ!$J$2:$J$399,MATCH($B7&amp;"#1",ΔΡΑΣΕΙΣ!$I$2:$I$399,0)),"")&amp;IFERROR(CHAR(10)&amp;INDEX(ΔΡΑΣΕΙΣ!$J$2:$J$399,MATCH($B7&amp;"#2",ΔΡΑΣΕΙΣ!$I$2:$I$399,0)),"")&amp;IFERROR(CHAR(10)&amp;INDEX(ΔΡΑΣΕΙΣ!$J$2:$J$399,MATCH($B7&amp;"#3",ΔΡΑΣΕΙΣ!$I$2:$I$399,0)),""))</f>
        <v>08:45-11:15  Διαδικτυακή εκπαίδευση «Kids Save Lives»</v>
      </c>
      <c r="F7" s="34"/>
      <c r="G7" s="34"/>
      <c r="I7" t="s">
        <v>76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IFERROR(INDEX(ΔΡΑΣΕΙΣ!$D$2:$D$399,MATCH($B8&amp;"#1",ΔΡΑΣΕΙΣ!$I$2:$I$399,0)),"")</f>
        <v/>
      </c>
      <c r="D8" s="28" t="str">
        <f>IF($B8="","",IFERROR(INDEX(ΔΡΑΣΕΙΣ!$J$2:$J$399,MATCH($B8&amp;"#1",ΔΡΑΣΕΙΣ!$I$2:$I$399,0)),"")&amp;IFERROR(CHAR(10)&amp;INDEX(ΔΡΑΣΕΙΣ!$J$2:$J$399,MATCH($B8&amp;"#2",ΔΡΑΣΕΙΣ!$I$2:$I$399,0)),"")&amp;IFERROR(CHAR(10)&amp;INDEX(ΔΡΑΣΕΙΣ!$J$2:$J$399,MATCH($B8&amp;"#3",ΔΡΑΣΕΙΣ!$I$2:$I$399,0)),""))</f>
        <v/>
      </c>
      <c r="F8" s="34"/>
      <c r="G8" s="34"/>
      <c r="I8" t="s">
        <v>77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IFERROR(INDEX(ΔΡΑΣΕΙΣ!$D$2:$D$399,MATCH($B9&amp;"#1",ΔΡΑΣΕΙΣ!$I$2:$I$399,0)),"")</f>
        <v/>
      </c>
      <c r="D9" s="28" t="str">
        <f>IF($B9="","",IFERROR(INDEX(ΔΡΑΣΕΙΣ!$J$2:$J$399,MATCH($B9&amp;"#1",ΔΡΑΣΕΙΣ!$I$2:$I$399,0)),"")&amp;IFERROR(CHAR(10)&amp;INDEX(ΔΡΑΣΕΙΣ!$J$2:$J$399,MATCH($B9&amp;"#2",ΔΡΑΣΕΙΣ!$I$2:$I$399,0)),"")&amp;IFERROR(CHAR(10)&amp;INDEX(ΔΡΑΣΕΙΣ!$J$2:$J$399,MATCH($B9&amp;"#3",ΔΡΑΣΕΙΣ!$I$2:$I$399,0)),""))</f>
        <v/>
      </c>
      <c r="I9" t="s">
        <v>78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IFERROR(INDEX(ΔΡΑΣΕΙΣ!$D$2:$D$399,MATCH($B10&amp;"#1",ΔΡΑΣΕΙΣ!$I$2:$I$399,0)),"")</f>
        <v/>
      </c>
      <c r="D10" s="28" t="str">
        <f>IF($B10="","",IFERROR(INDEX(ΔΡΑΣΕΙΣ!$J$2:$J$399,MATCH($B10&amp;"#1",ΔΡΑΣΕΙΣ!$I$2:$I$399,0)),"")&amp;IFERROR(CHAR(10)&amp;INDEX(ΔΡΑΣΕΙΣ!$J$2:$J$399,MATCH($B10&amp;"#2",ΔΡΑΣΕΙΣ!$I$2:$I$399,0)),"")&amp;IFERROR(CHAR(10)&amp;INDEX(ΔΡΑΣΕΙΣ!$J$2:$J$399,MATCH($B10&amp;"#3",ΔΡΑΣΕΙΣ!$I$2:$I$399,0)),""))</f>
        <v/>
      </c>
      <c r="I10" t="s">
        <v>79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IFERROR(INDEX(ΔΡΑΣΕΙΣ!$D$2:$D$399,MATCH($B11&amp;"#1",ΔΡΑΣΕΙΣ!$I$2:$I$399,0)),"")</f>
        <v/>
      </c>
      <c r="D11" s="28" t="str">
        <f>IF($B11="","",IFERROR(INDEX(ΔΡΑΣΕΙΣ!$J$2:$J$399,MATCH($B11&amp;"#1",ΔΡΑΣΕΙΣ!$I$2:$I$399,0)),"")&amp;IFERROR(CHAR(10)&amp;INDEX(ΔΡΑΣΕΙΣ!$J$2:$J$399,MATCH($B11&amp;"#2",ΔΡΑΣΕΙΣ!$I$2:$I$399,0)),"")&amp;IFERROR(CHAR(10)&amp;INDEX(ΔΡΑΣΕΙΣ!$J$2:$J$399,MATCH($B11&amp;"#3",ΔΡΑΣΕΙΣ!$I$2:$I$399,0)),""))</f>
        <v/>
      </c>
      <c r="I11" t="s">
        <v>80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IFERROR(INDEX(ΔΡΑΣΕΙΣ!$D$2:$D$399,MATCH($B12&amp;"#1",ΔΡΑΣΕΙΣ!$I$2:$I$399,0)),"")</f>
        <v/>
      </c>
      <c r="D12" s="28" t="str">
        <f>IF($B12="","",IFERROR(INDEX(ΔΡΑΣΕΙΣ!$J$2:$J$399,MATCH($B12&amp;"#1",ΔΡΑΣΕΙΣ!$I$2:$I$399,0)),"")&amp;IFERROR(CHAR(10)&amp;INDEX(ΔΡΑΣΕΙΣ!$J$2:$J$399,MATCH($B12&amp;"#2",ΔΡΑΣΕΙΣ!$I$2:$I$399,0)),"")&amp;IFERROR(CHAR(10)&amp;INDEX(ΔΡΑΣΕΙΣ!$J$2:$J$399,MATCH($B12&amp;"#3",ΔΡΑΣΕΙΣ!$I$2:$I$399,0)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IFERROR(INDEX(ΔΡΑΣΕΙΣ!$D$2:$D$399,MATCH($B13&amp;"#1",ΔΡΑΣΕΙΣ!$I$2:$I$399,0)),"")</f>
        <v/>
      </c>
      <c r="D13" s="28" t="str">
        <f>IF($B13="","",IFERROR(INDEX(ΔΡΑΣΕΙΣ!$J$2:$J$399,MATCH($B13&amp;"#1",ΔΡΑΣΕΙΣ!$I$2:$I$399,0)),"")&amp;IFERROR(CHAR(10)&amp;INDEX(ΔΡΑΣΕΙΣ!$J$2:$J$399,MATCH($B13&amp;"#2",ΔΡΑΣΕΙΣ!$I$2:$I$399,0)),"")&amp;IFERROR(CHAR(10)&amp;INDEX(ΔΡΑΣΕΙΣ!$J$2:$J$399,MATCH($B13&amp;"#3",ΔΡΑΣΕΙΣ!$I$2:$I$399,0)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IFERROR(INDEX(ΔΡΑΣΕΙΣ!$D$2:$D$399,MATCH($B14&amp;"#1",ΔΡΑΣΕΙΣ!$I$2:$I$399,0)),"")</f>
        <v/>
      </c>
      <c r="D14" s="28" t="str">
        <f>IF($B14="","",IFERROR(INDEX(ΔΡΑΣΕΙΣ!$J$2:$J$399,MATCH($B14&amp;"#1",ΔΡΑΣΕΙΣ!$I$2:$I$399,0)),"")&amp;IFERROR(CHAR(10)&amp;INDEX(ΔΡΑΣΕΙΣ!$J$2:$J$399,MATCH($B14&amp;"#2",ΔΡΑΣΕΙΣ!$I$2:$I$399,0)),"")&amp;IFERROR(CHAR(10)&amp;INDEX(ΔΡΑΣΕΙΣ!$J$2:$J$399,MATCH($B14&amp;"#3",ΔΡΑΣΕΙΣ!$I$2:$I$399,0)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IFERROR(INDEX(ΔΡΑΣΕΙΣ!$D$2:$D$399,MATCH($B15&amp;"#1",ΔΡΑΣΕΙΣ!$I$2:$I$399,0)),"")</f>
        <v/>
      </c>
      <c r="D15" s="28" t="str">
        <f>IF($B15="","",IFERROR(INDEX(ΔΡΑΣΕΙΣ!$J$2:$J$399,MATCH($B15&amp;"#1",ΔΡΑΣΕΙΣ!$I$2:$I$399,0)),"")&amp;IFERROR(CHAR(10)&amp;INDEX(ΔΡΑΣΕΙΣ!$J$2:$J$399,MATCH($B15&amp;"#2",ΔΡΑΣΕΙΣ!$I$2:$I$399,0)),"")&amp;IFERROR(CHAR(10)&amp;INDEX(ΔΡΑΣΕΙΣ!$J$2:$J$399,MATCH($B15&amp;"#3",ΔΡΑΣΕΙΣ!$I$2:$I$399,0)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IFERROR(INDEX(ΔΡΑΣΕΙΣ!$D$2:$D$399,MATCH($B16&amp;"#1",ΔΡΑΣΕΙΣ!$I$2:$I$399,0)),"")</f>
        <v/>
      </c>
      <c r="D16" s="28" t="str">
        <f>IF($B16="","",IFERROR(INDEX(ΔΡΑΣΕΙΣ!$J$2:$J$399,MATCH($B16&amp;"#1",ΔΡΑΣΕΙΣ!$I$2:$I$399,0)),"")&amp;IFERROR(CHAR(10)&amp;INDEX(ΔΡΑΣΕΙΣ!$J$2:$J$399,MATCH($B16&amp;"#2",ΔΡΑΣΕΙΣ!$I$2:$I$399,0)),"")&amp;IFERROR(CHAR(10)&amp;INDEX(ΔΡΑΣΕΙΣ!$J$2:$J$399,MATCH($B16&amp;"#3",ΔΡΑΣΕΙΣ!$I$2:$I$399,0)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IFERROR(INDEX(ΔΡΑΣΕΙΣ!$D$2:$D$399,MATCH($B17&amp;"#1",ΔΡΑΣΕΙΣ!$I$2:$I$399,0)),"")</f>
        <v/>
      </c>
      <c r="D17" s="28" t="str">
        <f>IF($B17="","",IFERROR(INDEX(ΔΡΑΣΕΙΣ!$J$2:$J$399,MATCH($B17&amp;"#1",ΔΡΑΣΕΙΣ!$I$2:$I$399,0)),"")&amp;IFERROR(CHAR(10)&amp;INDEX(ΔΡΑΣΕΙΣ!$J$2:$J$399,MATCH($B17&amp;"#2",ΔΡΑΣΕΙΣ!$I$2:$I$399,0)),"")&amp;IFERROR(CHAR(10)&amp;INDEX(ΔΡΑΣΕΙΣ!$J$2:$J$399,MATCH($B17&amp;"#3",ΔΡΑΣΕΙΣ!$I$2:$I$399,0)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IFERROR(INDEX(ΔΡΑΣΕΙΣ!$D$2:$D$399,MATCH($B18&amp;"#1",ΔΡΑΣΕΙΣ!$I$2:$I$399,0)),"")</f>
        <v/>
      </c>
      <c r="D18" s="28" t="str">
        <f>IF($B18="","",IFERROR(INDEX(ΔΡΑΣΕΙΣ!$J$2:$J$399,MATCH($B18&amp;"#1",ΔΡΑΣΕΙΣ!$I$2:$I$399,0)),"")&amp;IFERROR(CHAR(10)&amp;INDEX(ΔΡΑΣΕΙΣ!$J$2:$J$399,MATCH($B18&amp;"#2",ΔΡΑΣΕΙΣ!$I$2:$I$399,0)),"")&amp;IFERROR(CHAR(10)&amp;INDEX(ΔΡΑΣΕΙΣ!$J$2:$J$399,MATCH($B18&amp;"#3",ΔΡΑΣΕΙΣ!$I$2:$I$399,0)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IFERROR(INDEX(ΔΡΑΣΕΙΣ!$D$2:$D$399,MATCH($B19&amp;"#1",ΔΡΑΣΕΙΣ!$I$2:$I$399,0)),"")</f>
        <v/>
      </c>
      <c r="D19" s="28" t="str">
        <f>IF($B19="","",IFERROR(INDEX(ΔΡΑΣΕΙΣ!$J$2:$J$399,MATCH($B19&amp;"#1",ΔΡΑΣΕΙΣ!$I$2:$I$399,0)),"")&amp;IFERROR(CHAR(10)&amp;INDEX(ΔΡΑΣΕΙΣ!$J$2:$J$399,MATCH($B19&amp;"#2",ΔΡΑΣΕΙΣ!$I$2:$I$399,0)),"")&amp;IFERROR(CHAR(10)&amp;INDEX(ΔΡΑΣΕΙΣ!$J$2:$J$399,MATCH($B19&amp;"#3",ΔΡΑΣΕΙΣ!$I$2:$I$399,0)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IFERROR(INDEX(ΔΡΑΣΕΙΣ!$D$2:$D$399,MATCH($B20&amp;"#1",ΔΡΑΣΕΙΣ!$I$2:$I$399,0)),"")</f>
        <v>Εορτή / Εκκλησιασμός</v>
      </c>
      <c r="D20" s="28" t="str">
        <f>IF($B20="","",IFERROR(INDEX(ΔΡΑΣΕΙΣ!$J$2:$J$399,MATCH($B20&amp;"#1",ΔΡΑΣΕΙΣ!$I$2:$I$399,0)),"")&amp;IFERROR(CHAR(10)&amp;INDEX(ΔΡΑΣΕΙΣ!$J$2:$J$399,MATCH($B20&amp;"#2",ΔΡΑΣΕΙΣ!$I$2:$I$399,0)),"")&amp;IFERROR(CHAR(10)&amp;INDEX(ΔΡΑΣΕΙΣ!$J$2:$J$399,MATCH($B20&amp;"#3",ΔΡΑΣΕΙΣ!$I$2:$I$399,0)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IFERROR(INDEX(ΔΡΑΣΕΙΣ!$D$2:$D$399,MATCH($B21&amp;"#1",ΔΡΑΣΕΙΣ!$I$2:$I$399,0)),"")</f>
        <v/>
      </c>
      <c r="D21" s="28" t="str">
        <f>IF($B21="","",IFERROR(INDEX(ΔΡΑΣΕΙΣ!$J$2:$J$399,MATCH($B21&amp;"#1",ΔΡΑΣΕΙΣ!$I$2:$I$399,0)),"")&amp;IFERROR(CHAR(10)&amp;INDEX(ΔΡΑΣΕΙΣ!$J$2:$J$399,MATCH($B21&amp;"#2",ΔΡΑΣΕΙΣ!$I$2:$I$399,0)),"")&amp;IFERROR(CHAR(10)&amp;INDEX(ΔΡΑΣΕΙΣ!$J$2:$J$399,MATCH($B21&amp;"#3",ΔΡΑΣΕΙΣ!$I$2:$I$399,0)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IFERROR(INDEX(ΔΡΑΣΕΙΣ!$D$2:$D$399,MATCH($B22&amp;"#1",ΔΡΑΣΕΙΣ!$I$2:$I$399,0)),"")</f>
        <v/>
      </c>
      <c r="D22" s="28" t="str">
        <f>IF($B22="","",IFERROR(INDEX(ΔΡΑΣΕΙΣ!$J$2:$J$399,MATCH($B22&amp;"#1",ΔΡΑΣΕΙΣ!$I$2:$I$399,0)),"")&amp;IFERROR(CHAR(10)&amp;INDEX(ΔΡΑΣΕΙΣ!$J$2:$J$399,MATCH($B22&amp;"#2",ΔΡΑΣΕΙΣ!$I$2:$I$399,0)),"")&amp;IFERROR(CHAR(10)&amp;INDEX(ΔΡΑΣΕΙΣ!$J$2:$J$399,MATCH($B22&amp;"#3",ΔΡΑΣΕΙΣ!$I$2:$I$399,0)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IFERROR(INDEX(ΔΡΑΣΕΙΣ!$D$2:$D$399,MATCH($B23&amp;"#1",ΔΡΑΣΕΙΣ!$I$2:$I$399,0)),"")</f>
        <v/>
      </c>
      <c r="D23" s="28" t="str">
        <f>IF($B23="","",IFERROR(INDEX(ΔΡΑΣΕΙΣ!$J$2:$J$399,MATCH($B23&amp;"#1",ΔΡΑΣΕΙΣ!$I$2:$I$399,0)),"")&amp;IFERROR(CHAR(10)&amp;INDEX(ΔΡΑΣΕΙΣ!$J$2:$J$399,MATCH($B23&amp;"#2",ΔΡΑΣΕΙΣ!$I$2:$I$399,0)),"")&amp;IFERROR(CHAR(10)&amp;INDEX(ΔΡΑΣΕΙΣ!$J$2:$J$399,MATCH($B23&amp;"#3",ΔΡΑΣΕΙΣ!$I$2:$I$399,0)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IFERROR(INDEX(ΔΡΑΣΕΙΣ!$D$2:$D$399,MATCH($B24&amp;"#1",ΔΡΑΣΕΙΣ!$I$2:$I$399,0)),"")</f>
        <v/>
      </c>
      <c r="D24" s="28" t="str">
        <f>IF($B24="","",IFERROR(INDEX(ΔΡΑΣΕΙΣ!$J$2:$J$399,MATCH($B24&amp;"#1",ΔΡΑΣΕΙΣ!$I$2:$I$399,0)),"")&amp;IFERROR(CHAR(10)&amp;INDEX(ΔΡΑΣΕΙΣ!$J$2:$J$399,MATCH($B24&amp;"#2",ΔΡΑΣΕΙΣ!$I$2:$I$399,0)),"")&amp;IFERROR(CHAR(10)&amp;INDEX(ΔΡΑΣΕΙΣ!$J$2:$J$399,MATCH($B24&amp;"#3",ΔΡΑΣΕΙΣ!$I$2:$I$399,0)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IFERROR(INDEX(ΔΡΑΣΕΙΣ!$D$2:$D$399,MATCH($B25&amp;"#1",ΔΡΑΣΕΙΣ!$I$2:$I$399,0)),"")</f>
        <v/>
      </c>
      <c r="D25" s="28" t="str">
        <f>IF($B25="","",IFERROR(INDEX(ΔΡΑΣΕΙΣ!$J$2:$J$399,MATCH($B25&amp;"#1",ΔΡΑΣΕΙΣ!$I$2:$I$399,0)),"")&amp;IFERROR(CHAR(10)&amp;INDEX(ΔΡΑΣΕΙΣ!$J$2:$J$399,MATCH($B25&amp;"#2",ΔΡΑΣΕΙΣ!$I$2:$I$399,0)),"")&amp;IFERROR(CHAR(10)&amp;INDEX(ΔΡΑΣΕΙΣ!$J$2:$J$399,MATCH($B25&amp;"#3",ΔΡΑΣΕΙΣ!$I$2:$I$399,0)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IFERROR(INDEX(ΔΡΑΣΕΙΣ!$D$2:$D$399,MATCH($B26&amp;"#1",ΔΡΑΣΕΙΣ!$I$2:$I$399,0)),"")</f>
        <v/>
      </c>
      <c r="D26" s="28" t="str">
        <f>IF($B26="","",IFERROR(INDEX(ΔΡΑΣΕΙΣ!$J$2:$J$399,MATCH($B26&amp;"#1",ΔΡΑΣΕΙΣ!$I$2:$I$399,0)),"")&amp;IFERROR(CHAR(10)&amp;INDEX(ΔΡΑΣΕΙΣ!$J$2:$J$399,MATCH($B26&amp;"#2",ΔΡΑΣΕΙΣ!$I$2:$I$399,0)),"")&amp;IFERROR(CHAR(10)&amp;INDEX(ΔΡΑΣΕΙΣ!$J$2:$J$399,MATCH($B26&amp;"#3",ΔΡΑΣΕΙΣ!$I$2:$I$399,0)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IFERROR(INDEX(ΔΡΑΣΕΙΣ!$D$2:$D$399,MATCH($B27&amp;"#1",ΔΡΑΣΕΙΣ!$I$2:$I$399,0)),"")</f>
        <v/>
      </c>
      <c r="D27" s="28" t="str">
        <f>IF($B27="","",IFERROR(INDEX(ΔΡΑΣΕΙΣ!$J$2:$J$399,MATCH($B27&amp;"#1",ΔΡΑΣΕΙΣ!$I$2:$I$399,0)),"")&amp;IFERROR(CHAR(10)&amp;INDEX(ΔΡΑΣΕΙΣ!$J$2:$J$399,MATCH($B27&amp;"#2",ΔΡΑΣΕΙΣ!$I$2:$I$399,0)),"")&amp;IFERROR(CHAR(10)&amp;INDEX(ΔΡΑΣΕΙΣ!$J$2:$J$399,MATCH($B27&amp;"#3",ΔΡΑΣΕΙΣ!$I$2:$I$399,0)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IFERROR(INDEX(ΔΡΑΣΕΙΣ!$D$2:$D$399,MATCH($B28&amp;"#1",ΔΡΑΣΕΙΣ!$I$2:$I$399,0)),"")</f>
        <v/>
      </c>
      <c r="D28" s="28" t="str">
        <f>IF($B28="","",IFERROR(INDEX(ΔΡΑΣΕΙΣ!$J$2:$J$399,MATCH($B28&amp;"#1",ΔΡΑΣΕΙΣ!$I$2:$I$399,0)),"")&amp;IFERROR(CHAR(10)&amp;INDEX(ΔΡΑΣΕΙΣ!$J$2:$J$399,MATCH($B28&amp;"#2",ΔΡΑΣΕΙΣ!$I$2:$I$399,0)),"")&amp;IFERROR(CHAR(10)&amp;INDEX(ΔΡΑΣΕΙΣ!$J$2:$J$399,MATCH($B28&amp;"#3",ΔΡΑΣΕΙΣ!$I$2:$I$399,0)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IFERROR(INDEX(ΔΡΑΣΕΙΣ!$D$2:$D$399,MATCH($B29&amp;"#1",ΔΡΑΣΕΙΣ!$I$2:$I$399,0)),"")</f>
        <v/>
      </c>
      <c r="D29" s="28" t="str">
        <f>IF($B29="","",IFERROR(INDEX(ΔΡΑΣΕΙΣ!$J$2:$J$399,MATCH($B29&amp;"#1",ΔΡΑΣΕΙΣ!$I$2:$I$399,0)),"")&amp;IFERROR(CHAR(10)&amp;INDEX(ΔΡΑΣΕΙΣ!$J$2:$J$399,MATCH($B29&amp;"#2",ΔΡΑΣΕΙΣ!$I$2:$I$399,0)),"")&amp;IFERROR(CHAR(10)&amp;INDEX(ΔΡΑΣΕΙΣ!$J$2:$J$399,MATCH($B29&amp;"#3",ΔΡΑΣΕΙΣ!$I$2:$I$399,0)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IFERROR(INDEX(ΔΡΑΣΕΙΣ!$D$2:$D$399,MATCH($B30&amp;"#1",ΔΡΑΣΕΙΣ!$I$2:$I$399,0)),"")</f>
        <v/>
      </c>
      <c r="D30" s="28" t="str">
        <f>IF($B30="","",IFERROR(INDEX(ΔΡΑΣΕΙΣ!$J$2:$J$399,MATCH($B30&amp;"#1",ΔΡΑΣΕΙΣ!$I$2:$I$399,0)),"")&amp;IFERROR(CHAR(10)&amp;INDEX(ΔΡΑΣΕΙΣ!$J$2:$J$399,MATCH($B30&amp;"#2",ΔΡΑΣΕΙΣ!$I$2:$I$399,0)),"")&amp;IFERROR(CHAR(10)&amp;INDEX(ΔΡΑΣΕΙΣ!$J$2:$J$399,MATCH($B30&amp;"#3",ΔΡΑΣΕΙΣ!$I$2:$I$399,0)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IFERROR(INDEX(ΔΡΑΣΕΙΣ!$D$2:$D$399,MATCH($B31&amp;"#1",ΔΡΑΣΕΙΣ!$I$2:$I$399,0)),"")</f>
        <v/>
      </c>
      <c r="D31" s="28" t="str">
        <f>IF($B31="","",IFERROR(INDEX(ΔΡΑΣΕΙΣ!$J$2:$J$399,MATCH($B31&amp;"#1",ΔΡΑΣΕΙΣ!$I$2:$I$399,0)),"")&amp;IFERROR(CHAR(10)&amp;INDEX(ΔΡΑΣΕΙΣ!$J$2:$J$399,MATCH($B31&amp;"#2",ΔΡΑΣΕΙΣ!$I$2:$I$399,0)),"")&amp;IFERROR(CHAR(10)&amp;INDEX(ΔΡΑΣΕΙΣ!$J$2:$J$399,MATCH($B31&amp;"#3",ΔΡΑΣΕΙΣ!$I$2:$I$399,0)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IFERROR(INDEX(ΔΡΑΣΕΙΣ!$D$2:$D$399,MATCH($B32&amp;"#1",ΔΡΑΣΕΙΣ!$I$2:$I$399,0)),"")</f>
        <v/>
      </c>
      <c r="D32" s="28" t="str">
        <f>IF($B32="","",IFERROR(INDEX(ΔΡΑΣΕΙΣ!$J$2:$J$399,MATCH($B32&amp;"#1",ΔΡΑΣΕΙΣ!$I$2:$I$399,0)),"")&amp;IFERROR(CHAR(10)&amp;INDEX(ΔΡΑΣΕΙΣ!$J$2:$J$399,MATCH($B32&amp;"#2",ΔΡΑΣΕΙΣ!$I$2:$I$399,0)),"")&amp;IFERROR(CHAR(10)&amp;INDEX(ΔΡΑΣΕΙΣ!$J$2:$J$399,MATCH($B32&amp;"#3",ΔΡΑΣΕΙΣ!$I$2:$I$399,0)),""))</f>
        <v/>
      </c>
    </row>
    <row r="33" spans="1:4" ht="20.399999999999999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IFERROR(INDEX(ΔΡΑΣΕΙΣ!$D$2:$D$399,MATCH($B33&amp;"#1",ΔΡΑΣΕΙΣ!$I$2:$I$399,0)),"")</f>
        <v>Δράση / Πρόγραμμα / Όμιλος</v>
      </c>
      <c r="D33" s="28" t="str">
        <f>IF($B33="","",IFERROR(INDEX(ΔΡΑΣΕΙΣ!$J$2:$J$399,MATCH($B33&amp;"#1",ΔΡΑΣΕΙΣ!$I$2:$I$399,0)),"")&amp;IFERROR(CHAR(10)&amp;INDEX(ΔΡΑΣΕΙΣ!$J$2:$J$399,MATCH($B33&amp;"#2",ΔΡΑΣΕΙΣ!$I$2:$I$399,0)),"")&amp;IFERROR(CHAR(10)&amp;INDEX(ΔΡΑΣΕΙΣ!$J$2:$J$399,MATCH($B33&amp;"#3",ΔΡΑΣΕΙΣ!$I$2:$I$399,0)),""))</f>
        <v>09:00-12.30  Μουσείο Μακεδονικού Αγώνα</v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IFERROR(INDEX(ΔΡΑΣΕΙΣ!$D$2:$D$399,MATCH($B34&amp;"#1",ΔΡΑΣΕΙΣ!$I$2:$I$399,0)),"")</f>
        <v/>
      </c>
      <c r="D34" s="28" t="str">
        <f>IF($B34="","",IFERROR(INDEX(ΔΡΑΣΕΙΣ!$J$2:$J$399,MATCH($B34&amp;"#1",ΔΡΑΣΕΙΣ!$I$2:$I$399,0)),"")&amp;IFERROR(CHAR(10)&amp;INDEX(ΔΡΑΣΕΙΣ!$J$2:$J$399,MATCH($B34&amp;"#2",ΔΡΑΣΕΙΣ!$I$2:$I$399,0)),"")&amp;IFERROR(CHAR(10)&amp;INDEX(ΔΡΑΣΕΙΣ!$J$2:$J$399,MATCH($B34&amp;"#3",ΔΡΑΣΕΙΣ!$I$2:$I$399,0)),""))</f>
        <v/>
      </c>
    </row>
    <row r="36" spans="1:4" x14ac:dyDescent="0.3">
      <c r="A36" s="29" t="s">
        <v>67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98" t="s">
        <v>29</v>
      </c>
      <c r="C41" s="99"/>
      <c r="D41" s="99"/>
    </row>
    <row r="42" spans="1:4" x14ac:dyDescent="0.3">
      <c r="A42" s="31"/>
      <c r="B42" s="98" t="s">
        <v>30</v>
      </c>
      <c r="C42" s="99"/>
      <c r="D42" s="99"/>
    </row>
    <row r="43" spans="1:4" x14ac:dyDescent="0.3">
      <c r="A43" s="33"/>
      <c r="B43" s="98" t="s">
        <v>31</v>
      </c>
      <c r="C43" s="99"/>
      <c r="D43" s="99"/>
    </row>
    <row r="44" spans="1:4" x14ac:dyDescent="0.3">
      <c r="A44" s="41"/>
      <c r="B44" s="98" t="s">
        <v>32</v>
      </c>
      <c r="C44" s="98"/>
      <c r="D44" s="98"/>
    </row>
  </sheetData>
  <mergeCells count="6">
    <mergeCell ref="B44:D44"/>
    <mergeCell ref="A1:D1"/>
    <mergeCell ref="A2:D2"/>
    <mergeCell ref="B41:D41"/>
    <mergeCell ref="B42:D42"/>
    <mergeCell ref="B43:D43"/>
  </mergeCells>
  <conditionalFormatting sqref="A4:D34">
    <cfRule type="expression" dxfId="18" priority="1">
      <formula>$C4="Αργία / Διακοπές"</formula>
    </cfRule>
    <cfRule type="expression" dxfId="17" priority="2">
      <formula>$C4="Εορτή / Εκκλησιασμός"</formula>
    </cfRule>
    <cfRule type="expression" dxfId="16" priority="3">
      <formula>$C4="Εκδρομή / Επίσκεψη / Περίπατος"</formula>
    </cfRule>
    <cfRule type="expression" dxfId="15" priority="4">
      <formula>$C4="Σύλλογος διδασκόντων"</formula>
    </cfRule>
    <cfRule type="expression" dxfId="14" priority="5">
      <formula>$C4="Ενημέρωση γονέων / Έλεγχοι"</formula>
    </cfRule>
    <cfRule type="expression" dxfId="13" priority="6">
      <formula>$C4="Ορόσημο / Εξετάσεις"</formula>
    </cfRule>
    <cfRule type="expression" dxfId="12" priority="7">
      <formula>$C4="Επιμόρφωση εκπαιδευτικών"</formula>
    </cfRule>
    <cfRule type="expression" dxfId="11" priority="8">
      <formula>$C4="Δράση / Πρόγραμμα / Όμιλος"</formula>
    </cfRule>
    <cfRule type="expression" dxfId="10" priority="9">
      <formula>IF($B4="",0,WEEKDAY($B4,2)&gt;5)</formula>
    </cfRule>
  </conditionalFormatting>
  <dataValidations count="1">
    <dataValidation type="list" allowBlank="1" showInputMessage="1" showErrorMessage="1" sqref="G2" xr:uid="{A3E60828-E491-422A-872C-58E61D2442A3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6</vt:i4>
      </vt:variant>
      <vt:variant>
        <vt:lpstr>Καθορισμένες περιοχές</vt:lpstr>
      </vt:variant>
      <vt:variant>
        <vt:i4>8</vt:i4>
      </vt:variant>
    </vt:vector>
  </HeadingPairs>
  <TitlesOfParts>
    <vt:vector size="14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ΑΦΙΣΑ_1ΜΗΝΑΣ_λίστα</vt:lpstr>
      <vt:lpstr>ΑΦΙΣΑ_1ΜΗΝΑΣ!Print_Area</vt:lpstr>
      <vt:lpstr>ΑΦΙΣΑ_1ΜΗΝΑΣ_λίστα!Print_Area</vt:lpstr>
      <vt:lpstr>ΑΦΙΣΑ_ΕΠΙΛΟΓΗΣ!Print_Area</vt:lpstr>
      <vt:lpstr>ΔΡΑΣΕΙΣ!Print_Area</vt:lpstr>
      <vt:lpstr>ΑΦΙΣΑ_1ΜΗΝΑΣ!Print_Titles</vt:lpstr>
      <vt:lpstr>ΑΦΙΣΑ_1ΜΗΝΑΣ_λίστα!Print_Titles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2026-09-29T12:42:40Z</cp:lastPrinted>
  <dcterms:created xsi:type="dcterms:W3CDTF">2026-09-19T11:40:43Z</dcterms:created>
  <dcterms:modified xsi:type="dcterms:W3CDTF">2026-10-01T13:17:18Z</dcterms:modified>
  <dc:language>en-US</dc:language>
</cp:coreProperties>
</file>