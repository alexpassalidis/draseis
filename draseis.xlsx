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arel\Downloads\"/>
    </mc:Choice>
  </mc:AlternateContent>
  <xr:revisionPtr revIDLastSave="0" documentId="13_ncr:1_{D20BEE76-92A1-480A-8166-EA025F69A7FA}" xr6:coauthVersionLast="47" xr6:coauthVersionMax="47" xr10:uidLastSave="{00000000-0000-0000-0000-000000000000}"/>
  <bookViews>
    <workbookView xWindow="-108" yWindow="-108" windowWidth="23256" windowHeight="13896" tabRatio="500" firstSheet="4" activeTab="4" xr2:uid="{00000000-000D-0000-FFFF-FFFF00000000}"/>
  </bookViews>
  <sheets>
    <sheet name="ΟΔΗΓΙΕΣ" sheetId="1" r:id="rId1"/>
    <sheet name="ΚΑΤΗΓΟΡΙΕΣ" sheetId="2" r:id="rId2"/>
    <sheet name="ΔΡΑΣΕΙΣ" sheetId="3" r:id="rId3"/>
    <sheet name="ΑΦΙΣΑ_ΕΠΙΛΟΓΗΣ" sheetId="19" r:id="rId4"/>
    <sheet name="ΑΦΙΣΑ_1ΜΗΝΑΣ" sheetId="20" r:id="rId5"/>
    <sheet name="ΑΦΙΣΑ_1ΜΗΝΑΣ_λίστα" sheetId="21" r:id="rId6"/>
  </sheets>
  <definedNames>
    <definedName name="_xlnm._FilterDatabase" localSheetId="2" hidden="1">ΔΡΑΣΕΙΣ!$A$1:$J$399</definedName>
    <definedName name="_xlnm.Print_Area" localSheetId="4">ΑΦΙΣΑ_1ΜΗΝΑΣ!$A$1:$G$37</definedName>
    <definedName name="_xlnm.Print_Area" localSheetId="5">ΑΦΙΣΑ_1ΜΗΝΑΣ_λίστα!$A$1:$D$44</definedName>
    <definedName name="_xlnm.Print_Area" localSheetId="3">ΑΦΙΣΑ_ΕΠΙΛΟΓΗΣ!$A$1:$I$40</definedName>
    <definedName name="_xlnm.Print_Area" localSheetId="2">ΔΡΑΣΕΙΣ!$A$1:$G$119</definedName>
    <definedName name="_xlnm.Print_Titles" localSheetId="4">ΑΦΙΣΑ_1ΜΗΝΑΣ!$1:$3</definedName>
    <definedName name="_xlnm.Print_Titles" localSheetId="5">ΑΦΙΣΑ_1ΜΗΝΑΣ_λίστα!$1:$3</definedName>
    <definedName name="_xlnm.Print_Titles" localSheetId="3">ΑΦΙΣΑ_ΕΠΙΛΟΓΗΣ!$1:$3</definedName>
    <definedName name="_xlnm.Print_Titles" localSheetId="2">ΔΡΑΣΕΙΣ!$1:$1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3" l="1"/>
  <c r="I9" i="3"/>
  <c r="H9" i="3"/>
  <c r="D37" i="20"/>
  <c r="C37" i="20"/>
  <c r="B37" i="20"/>
  <c r="A37" i="20"/>
  <c r="D36" i="20"/>
  <c r="C36" i="20"/>
  <c r="B36" i="20"/>
  <c r="A36" i="20"/>
  <c r="A1" i="20"/>
  <c r="L6" i="20"/>
  <c r="L5" i="20"/>
  <c r="G6" i="21"/>
  <c r="G5" i="21"/>
  <c r="L8" i="19"/>
  <c r="L7" i="19"/>
  <c r="L6" i="19"/>
  <c r="L5" i="19"/>
  <c r="J399" i="3"/>
  <c r="I399" i="3"/>
  <c r="H399" i="3"/>
  <c r="J398" i="3"/>
  <c r="I398" i="3"/>
  <c r="H398" i="3"/>
  <c r="J397" i="3"/>
  <c r="I397" i="3"/>
  <c r="H397" i="3"/>
  <c r="J396" i="3"/>
  <c r="I396" i="3"/>
  <c r="H396" i="3"/>
  <c r="J395" i="3"/>
  <c r="I395" i="3"/>
  <c r="H395" i="3"/>
  <c r="J394" i="3"/>
  <c r="I394" i="3"/>
  <c r="H394" i="3"/>
  <c r="J393" i="3"/>
  <c r="I393" i="3"/>
  <c r="H393" i="3"/>
  <c r="J392" i="3"/>
  <c r="I392" i="3"/>
  <c r="H392" i="3"/>
  <c r="J391" i="3"/>
  <c r="I391" i="3"/>
  <c r="H391" i="3"/>
  <c r="J390" i="3"/>
  <c r="I390" i="3"/>
  <c r="H390" i="3"/>
  <c r="J389" i="3"/>
  <c r="I389" i="3"/>
  <c r="H389" i="3"/>
  <c r="J388" i="3"/>
  <c r="I388" i="3"/>
  <c r="H388" i="3"/>
  <c r="J387" i="3"/>
  <c r="I387" i="3"/>
  <c r="H387" i="3"/>
  <c r="J386" i="3"/>
  <c r="I386" i="3"/>
  <c r="H386" i="3"/>
  <c r="J385" i="3"/>
  <c r="I385" i="3"/>
  <c r="H385" i="3"/>
  <c r="J384" i="3"/>
  <c r="I384" i="3"/>
  <c r="H384" i="3"/>
  <c r="J383" i="3"/>
  <c r="I383" i="3"/>
  <c r="H383" i="3"/>
  <c r="J382" i="3"/>
  <c r="I382" i="3"/>
  <c r="H382" i="3"/>
  <c r="J381" i="3"/>
  <c r="I381" i="3"/>
  <c r="H381" i="3"/>
  <c r="J380" i="3"/>
  <c r="I380" i="3"/>
  <c r="H380" i="3"/>
  <c r="J379" i="3"/>
  <c r="I379" i="3"/>
  <c r="H379" i="3"/>
  <c r="J378" i="3"/>
  <c r="I378" i="3"/>
  <c r="H378" i="3"/>
  <c r="J377" i="3"/>
  <c r="I377" i="3"/>
  <c r="H377" i="3"/>
  <c r="J376" i="3"/>
  <c r="I376" i="3"/>
  <c r="H376" i="3"/>
  <c r="J375" i="3"/>
  <c r="I375" i="3"/>
  <c r="H375" i="3"/>
  <c r="J374" i="3"/>
  <c r="I374" i="3"/>
  <c r="H374" i="3"/>
  <c r="J373" i="3"/>
  <c r="I373" i="3"/>
  <c r="H373" i="3"/>
  <c r="J372" i="3"/>
  <c r="I372" i="3"/>
  <c r="H372" i="3"/>
  <c r="J371" i="3"/>
  <c r="I371" i="3"/>
  <c r="H371" i="3"/>
  <c r="J370" i="3"/>
  <c r="I370" i="3"/>
  <c r="H370" i="3"/>
  <c r="J369" i="3"/>
  <c r="I369" i="3"/>
  <c r="H369" i="3"/>
  <c r="J368" i="3"/>
  <c r="I368" i="3"/>
  <c r="H368" i="3"/>
  <c r="J367" i="3"/>
  <c r="I367" i="3"/>
  <c r="H367" i="3"/>
  <c r="J366" i="3"/>
  <c r="I366" i="3"/>
  <c r="H366" i="3"/>
  <c r="J365" i="3"/>
  <c r="I365" i="3"/>
  <c r="H365" i="3"/>
  <c r="J364" i="3"/>
  <c r="I364" i="3"/>
  <c r="H364" i="3"/>
  <c r="J363" i="3"/>
  <c r="I363" i="3"/>
  <c r="H363" i="3"/>
  <c r="J362" i="3"/>
  <c r="I362" i="3"/>
  <c r="H362" i="3"/>
  <c r="J361" i="3"/>
  <c r="I361" i="3"/>
  <c r="H361" i="3"/>
  <c r="J360" i="3"/>
  <c r="I360" i="3"/>
  <c r="H360" i="3"/>
  <c r="J359" i="3"/>
  <c r="I359" i="3"/>
  <c r="H359" i="3"/>
  <c r="J358" i="3"/>
  <c r="I358" i="3"/>
  <c r="H358" i="3"/>
  <c r="J357" i="3"/>
  <c r="I357" i="3"/>
  <c r="H357" i="3"/>
  <c r="J356" i="3"/>
  <c r="I356" i="3"/>
  <c r="H356" i="3"/>
  <c r="J355" i="3"/>
  <c r="I355" i="3"/>
  <c r="H355" i="3"/>
  <c r="J354" i="3"/>
  <c r="I354" i="3"/>
  <c r="H354" i="3"/>
  <c r="J353" i="3"/>
  <c r="I353" i="3"/>
  <c r="H353" i="3"/>
  <c r="J352" i="3"/>
  <c r="I352" i="3"/>
  <c r="H352" i="3"/>
  <c r="J351" i="3"/>
  <c r="I351" i="3"/>
  <c r="H351" i="3"/>
  <c r="J350" i="3"/>
  <c r="I350" i="3"/>
  <c r="H350" i="3"/>
  <c r="J349" i="3"/>
  <c r="I349" i="3"/>
  <c r="H349" i="3"/>
  <c r="J348" i="3"/>
  <c r="I348" i="3"/>
  <c r="H348" i="3"/>
  <c r="J347" i="3"/>
  <c r="I347" i="3"/>
  <c r="H347" i="3"/>
  <c r="J346" i="3"/>
  <c r="I346" i="3"/>
  <c r="H346" i="3"/>
  <c r="J345" i="3"/>
  <c r="I345" i="3"/>
  <c r="H345" i="3"/>
  <c r="J344" i="3"/>
  <c r="I344" i="3"/>
  <c r="H344" i="3"/>
  <c r="J343" i="3"/>
  <c r="I343" i="3"/>
  <c r="H343" i="3"/>
  <c r="J342" i="3"/>
  <c r="I342" i="3"/>
  <c r="H342" i="3"/>
  <c r="J341" i="3"/>
  <c r="I341" i="3"/>
  <c r="H341" i="3"/>
  <c r="J340" i="3"/>
  <c r="I340" i="3"/>
  <c r="H340" i="3"/>
  <c r="J339" i="3"/>
  <c r="I339" i="3"/>
  <c r="H339" i="3"/>
  <c r="J338" i="3"/>
  <c r="I338" i="3"/>
  <c r="H338" i="3"/>
  <c r="J337" i="3"/>
  <c r="I337" i="3"/>
  <c r="H337" i="3"/>
  <c r="J336" i="3"/>
  <c r="I336" i="3"/>
  <c r="H336" i="3"/>
  <c r="J335" i="3"/>
  <c r="I335" i="3"/>
  <c r="H335" i="3"/>
  <c r="J334" i="3"/>
  <c r="I334" i="3"/>
  <c r="H334" i="3"/>
  <c r="J333" i="3"/>
  <c r="I333" i="3"/>
  <c r="H333" i="3"/>
  <c r="J332" i="3"/>
  <c r="I332" i="3"/>
  <c r="H332" i="3"/>
  <c r="J331" i="3"/>
  <c r="I331" i="3"/>
  <c r="H331" i="3"/>
  <c r="J330" i="3"/>
  <c r="I330" i="3"/>
  <c r="H330" i="3"/>
  <c r="J329" i="3"/>
  <c r="I329" i="3"/>
  <c r="H329" i="3"/>
  <c r="J328" i="3"/>
  <c r="I328" i="3"/>
  <c r="H328" i="3"/>
  <c r="J327" i="3"/>
  <c r="I327" i="3"/>
  <c r="H327" i="3"/>
  <c r="J326" i="3"/>
  <c r="I326" i="3"/>
  <c r="H326" i="3"/>
  <c r="J325" i="3"/>
  <c r="I325" i="3"/>
  <c r="H325" i="3"/>
  <c r="J324" i="3"/>
  <c r="I324" i="3"/>
  <c r="H324" i="3"/>
  <c r="J323" i="3"/>
  <c r="I323" i="3"/>
  <c r="H323" i="3"/>
  <c r="J322" i="3"/>
  <c r="I322" i="3"/>
  <c r="H322" i="3"/>
  <c r="J321" i="3"/>
  <c r="I321" i="3"/>
  <c r="H321" i="3"/>
  <c r="J320" i="3"/>
  <c r="I320" i="3"/>
  <c r="H320" i="3"/>
  <c r="J319" i="3"/>
  <c r="I319" i="3"/>
  <c r="H319" i="3"/>
  <c r="J318" i="3"/>
  <c r="I318" i="3"/>
  <c r="H318" i="3"/>
  <c r="J317" i="3"/>
  <c r="I317" i="3"/>
  <c r="H317" i="3"/>
  <c r="J316" i="3"/>
  <c r="I316" i="3"/>
  <c r="H316" i="3"/>
  <c r="J315" i="3"/>
  <c r="I315" i="3"/>
  <c r="H315" i="3"/>
  <c r="J314" i="3"/>
  <c r="I314" i="3"/>
  <c r="H314" i="3"/>
  <c r="J313" i="3"/>
  <c r="I313" i="3"/>
  <c r="H313" i="3"/>
  <c r="J312" i="3"/>
  <c r="I312" i="3"/>
  <c r="H312" i="3"/>
  <c r="J311" i="3"/>
  <c r="I311" i="3"/>
  <c r="H311" i="3"/>
  <c r="J310" i="3"/>
  <c r="I310" i="3"/>
  <c r="H310" i="3"/>
  <c r="J309" i="3"/>
  <c r="I309" i="3"/>
  <c r="H309" i="3"/>
  <c r="J308" i="3"/>
  <c r="I308" i="3"/>
  <c r="H308" i="3"/>
  <c r="J307" i="3"/>
  <c r="I307" i="3"/>
  <c r="H307" i="3"/>
  <c r="J306" i="3"/>
  <c r="I306" i="3"/>
  <c r="H306" i="3"/>
  <c r="J305" i="3"/>
  <c r="I305" i="3"/>
  <c r="H305" i="3"/>
  <c r="J304" i="3"/>
  <c r="I304" i="3"/>
  <c r="H304" i="3"/>
  <c r="J303" i="3"/>
  <c r="I303" i="3"/>
  <c r="H303" i="3"/>
  <c r="J302" i="3"/>
  <c r="I302" i="3"/>
  <c r="H302" i="3"/>
  <c r="J301" i="3"/>
  <c r="I301" i="3"/>
  <c r="H301" i="3"/>
  <c r="J300" i="3"/>
  <c r="I300" i="3"/>
  <c r="H300" i="3"/>
  <c r="J299" i="3"/>
  <c r="I299" i="3"/>
  <c r="H299" i="3"/>
  <c r="J298" i="3"/>
  <c r="I298" i="3"/>
  <c r="H298" i="3"/>
  <c r="J297" i="3"/>
  <c r="I297" i="3"/>
  <c r="H297" i="3"/>
  <c r="J296" i="3"/>
  <c r="I296" i="3"/>
  <c r="H296" i="3"/>
  <c r="J295" i="3"/>
  <c r="I295" i="3"/>
  <c r="H295" i="3"/>
  <c r="J294" i="3"/>
  <c r="I294" i="3"/>
  <c r="H294" i="3"/>
  <c r="J293" i="3"/>
  <c r="I293" i="3"/>
  <c r="H293" i="3"/>
  <c r="J292" i="3"/>
  <c r="I292" i="3"/>
  <c r="H292" i="3"/>
  <c r="J291" i="3"/>
  <c r="I291" i="3"/>
  <c r="H291" i="3"/>
  <c r="J290" i="3"/>
  <c r="I290" i="3"/>
  <c r="H290" i="3"/>
  <c r="J289" i="3"/>
  <c r="I289" i="3"/>
  <c r="H289" i="3"/>
  <c r="J288" i="3"/>
  <c r="I288" i="3"/>
  <c r="H288" i="3"/>
  <c r="J287" i="3"/>
  <c r="I287" i="3"/>
  <c r="H287" i="3"/>
  <c r="J286" i="3"/>
  <c r="I286" i="3"/>
  <c r="H286" i="3"/>
  <c r="J285" i="3"/>
  <c r="I285" i="3"/>
  <c r="H285" i="3"/>
  <c r="J284" i="3"/>
  <c r="I284" i="3"/>
  <c r="H284" i="3"/>
  <c r="J283" i="3"/>
  <c r="I283" i="3"/>
  <c r="H283" i="3"/>
  <c r="J282" i="3"/>
  <c r="I282" i="3"/>
  <c r="H282" i="3"/>
  <c r="J281" i="3"/>
  <c r="I281" i="3"/>
  <c r="H281" i="3"/>
  <c r="J280" i="3"/>
  <c r="I280" i="3"/>
  <c r="H280" i="3"/>
  <c r="J279" i="3"/>
  <c r="I279" i="3"/>
  <c r="H279" i="3"/>
  <c r="J278" i="3"/>
  <c r="I278" i="3"/>
  <c r="H278" i="3"/>
  <c r="J277" i="3"/>
  <c r="I277" i="3"/>
  <c r="H277" i="3"/>
  <c r="J276" i="3"/>
  <c r="I276" i="3"/>
  <c r="H276" i="3"/>
  <c r="J275" i="3"/>
  <c r="I275" i="3"/>
  <c r="H275" i="3"/>
  <c r="J274" i="3"/>
  <c r="I274" i="3"/>
  <c r="H274" i="3"/>
  <c r="J273" i="3"/>
  <c r="I273" i="3"/>
  <c r="H273" i="3"/>
  <c r="J272" i="3"/>
  <c r="I272" i="3"/>
  <c r="H272" i="3"/>
  <c r="J271" i="3"/>
  <c r="I271" i="3"/>
  <c r="H271" i="3"/>
  <c r="J270" i="3"/>
  <c r="I270" i="3"/>
  <c r="H270" i="3"/>
  <c r="J269" i="3"/>
  <c r="I269" i="3"/>
  <c r="H269" i="3"/>
  <c r="J268" i="3"/>
  <c r="I268" i="3"/>
  <c r="H268" i="3"/>
  <c r="J267" i="3"/>
  <c r="I267" i="3"/>
  <c r="H267" i="3"/>
  <c r="J266" i="3"/>
  <c r="I266" i="3"/>
  <c r="H266" i="3"/>
  <c r="J265" i="3"/>
  <c r="I265" i="3"/>
  <c r="H265" i="3"/>
  <c r="J264" i="3"/>
  <c r="I264" i="3"/>
  <c r="H264" i="3"/>
  <c r="J263" i="3"/>
  <c r="I263" i="3"/>
  <c r="H263" i="3"/>
  <c r="J262" i="3"/>
  <c r="I262" i="3"/>
  <c r="H262" i="3"/>
  <c r="J261" i="3"/>
  <c r="I261" i="3"/>
  <c r="H261" i="3"/>
  <c r="J260" i="3"/>
  <c r="I260" i="3"/>
  <c r="H260" i="3"/>
  <c r="J259" i="3"/>
  <c r="I259" i="3"/>
  <c r="H259" i="3"/>
  <c r="J258" i="3"/>
  <c r="I258" i="3"/>
  <c r="H258" i="3"/>
  <c r="J257" i="3"/>
  <c r="I257" i="3"/>
  <c r="H257" i="3"/>
  <c r="J256" i="3"/>
  <c r="I256" i="3"/>
  <c r="H256" i="3"/>
  <c r="J255" i="3"/>
  <c r="I255" i="3"/>
  <c r="H255" i="3"/>
  <c r="J254" i="3"/>
  <c r="I254" i="3"/>
  <c r="H254" i="3"/>
  <c r="J253" i="3"/>
  <c r="I253" i="3"/>
  <c r="H253" i="3"/>
  <c r="J252" i="3"/>
  <c r="I252" i="3"/>
  <c r="H252" i="3"/>
  <c r="J251" i="3"/>
  <c r="I251" i="3"/>
  <c r="H251" i="3"/>
  <c r="J250" i="3"/>
  <c r="I250" i="3"/>
  <c r="H250" i="3"/>
  <c r="J249" i="3"/>
  <c r="I249" i="3"/>
  <c r="H249" i="3"/>
  <c r="J248" i="3"/>
  <c r="I248" i="3"/>
  <c r="H248" i="3"/>
  <c r="J247" i="3"/>
  <c r="I247" i="3"/>
  <c r="H247" i="3"/>
  <c r="J246" i="3"/>
  <c r="I246" i="3"/>
  <c r="H246" i="3"/>
  <c r="J245" i="3"/>
  <c r="I245" i="3"/>
  <c r="H245" i="3"/>
  <c r="J244" i="3"/>
  <c r="I244" i="3"/>
  <c r="H244" i="3"/>
  <c r="J243" i="3"/>
  <c r="I243" i="3"/>
  <c r="H243" i="3"/>
  <c r="J242" i="3"/>
  <c r="I242" i="3"/>
  <c r="H242" i="3"/>
  <c r="J241" i="3"/>
  <c r="I241" i="3"/>
  <c r="H241" i="3"/>
  <c r="J240" i="3"/>
  <c r="I240" i="3"/>
  <c r="H240" i="3"/>
  <c r="J239" i="3"/>
  <c r="I239" i="3"/>
  <c r="H239" i="3"/>
  <c r="J238" i="3"/>
  <c r="I238" i="3"/>
  <c r="H238" i="3"/>
  <c r="J237" i="3"/>
  <c r="I237" i="3"/>
  <c r="H237" i="3"/>
  <c r="J236" i="3"/>
  <c r="I236" i="3"/>
  <c r="H236" i="3"/>
  <c r="J235" i="3"/>
  <c r="I235" i="3"/>
  <c r="H235" i="3"/>
  <c r="J234" i="3"/>
  <c r="I234" i="3"/>
  <c r="H234" i="3"/>
  <c r="J233" i="3"/>
  <c r="I233" i="3"/>
  <c r="H233" i="3"/>
  <c r="J232" i="3"/>
  <c r="I232" i="3"/>
  <c r="H232" i="3"/>
  <c r="J231" i="3"/>
  <c r="I231" i="3"/>
  <c r="H231" i="3"/>
  <c r="J230" i="3"/>
  <c r="I230" i="3"/>
  <c r="H230" i="3"/>
  <c r="J229" i="3"/>
  <c r="I229" i="3"/>
  <c r="H229" i="3"/>
  <c r="J228" i="3"/>
  <c r="I228" i="3"/>
  <c r="H228" i="3"/>
  <c r="J227" i="3"/>
  <c r="I227" i="3"/>
  <c r="H227" i="3"/>
  <c r="J226" i="3"/>
  <c r="I226" i="3"/>
  <c r="H226" i="3"/>
  <c r="J225" i="3"/>
  <c r="I225" i="3"/>
  <c r="H225" i="3"/>
  <c r="J224" i="3"/>
  <c r="I224" i="3"/>
  <c r="H224" i="3"/>
  <c r="J223" i="3"/>
  <c r="I223" i="3"/>
  <c r="H223" i="3"/>
  <c r="J222" i="3"/>
  <c r="I222" i="3"/>
  <c r="H222" i="3"/>
  <c r="J221" i="3"/>
  <c r="I221" i="3"/>
  <c r="H221" i="3"/>
  <c r="J220" i="3"/>
  <c r="I220" i="3"/>
  <c r="H220" i="3"/>
  <c r="J219" i="3"/>
  <c r="I219" i="3"/>
  <c r="H219" i="3"/>
  <c r="J218" i="3"/>
  <c r="I218" i="3"/>
  <c r="H218" i="3"/>
  <c r="J217" i="3"/>
  <c r="I217" i="3"/>
  <c r="H217" i="3"/>
  <c r="J216" i="3"/>
  <c r="I216" i="3"/>
  <c r="H216" i="3"/>
  <c r="J215" i="3"/>
  <c r="I215" i="3"/>
  <c r="H215" i="3"/>
  <c r="J214" i="3"/>
  <c r="I214" i="3"/>
  <c r="H214" i="3"/>
  <c r="J213" i="3"/>
  <c r="I213" i="3"/>
  <c r="H213" i="3"/>
  <c r="J212" i="3"/>
  <c r="I212" i="3"/>
  <c r="H212" i="3"/>
  <c r="J211" i="3"/>
  <c r="I211" i="3"/>
  <c r="H211" i="3"/>
  <c r="J210" i="3"/>
  <c r="I210" i="3"/>
  <c r="H210" i="3"/>
  <c r="J209" i="3"/>
  <c r="I209" i="3"/>
  <c r="H209" i="3"/>
  <c r="J208" i="3"/>
  <c r="I208" i="3"/>
  <c r="H208" i="3"/>
  <c r="J207" i="3"/>
  <c r="I207" i="3"/>
  <c r="H207" i="3"/>
  <c r="J206" i="3"/>
  <c r="I206" i="3"/>
  <c r="H206" i="3"/>
  <c r="J205" i="3"/>
  <c r="I205" i="3"/>
  <c r="H205" i="3"/>
  <c r="J204" i="3"/>
  <c r="I204" i="3"/>
  <c r="H204" i="3"/>
  <c r="J203" i="3"/>
  <c r="I203" i="3"/>
  <c r="H203" i="3"/>
  <c r="J202" i="3"/>
  <c r="I202" i="3"/>
  <c r="H202" i="3"/>
  <c r="J201" i="3"/>
  <c r="I201" i="3"/>
  <c r="H201" i="3"/>
  <c r="J200" i="3"/>
  <c r="I200" i="3"/>
  <c r="H200" i="3"/>
  <c r="J199" i="3"/>
  <c r="I199" i="3"/>
  <c r="H199" i="3"/>
  <c r="J198" i="3"/>
  <c r="I198" i="3"/>
  <c r="H198" i="3"/>
  <c r="J197" i="3"/>
  <c r="I197" i="3"/>
  <c r="H197" i="3"/>
  <c r="J196" i="3"/>
  <c r="I196" i="3"/>
  <c r="H196" i="3"/>
  <c r="J195" i="3"/>
  <c r="I195" i="3"/>
  <c r="H195" i="3"/>
  <c r="J194" i="3"/>
  <c r="I194" i="3"/>
  <c r="H194" i="3"/>
  <c r="J193" i="3"/>
  <c r="I193" i="3"/>
  <c r="H193" i="3"/>
  <c r="J192" i="3"/>
  <c r="I192" i="3"/>
  <c r="H192" i="3"/>
  <c r="J191" i="3"/>
  <c r="I191" i="3"/>
  <c r="H191" i="3"/>
  <c r="J190" i="3"/>
  <c r="I190" i="3"/>
  <c r="H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H181" i="3"/>
  <c r="J180" i="3"/>
  <c r="I180" i="3"/>
  <c r="H180" i="3"/>
  <c r="J179" i="3"/>
  <c r="I179" i="3"/>
  <c r="H179" i="3"/>
  <c r="J178" i="3"/>
  <c r="I178" i="3"/>
  <c r="H178" i="3"/>
  <c r="J177" i="3"/>
  <c r="I177" i="3"/>
  <c r="H177" i="3"/>
  <c r="J176" i="3"/>
  <c r="I176" i="3"/>
  <c r="H176" i="3"/>
  <c r="J175" i="3"/>
  <c r="I175" i="3"/>
  <c r="H175" i="3"/>
  <c r="J174" i="3"/>
  <c r="I174" i="3"/>
  <c r="H174" i="3"/>
  <c r="J173" i="3"/>
  <c r="I173" i="3"/>
  <c r="H173" i="3"/>
  <c r="J172" i="3"/>
  <c r="I172" i="3"/>
  <c r="H172" i="3"/>
  <c r="J171" i="3"/>
  <c r="I171" i="3"/>
  <c r="H171" i="3"/>
  <c r="J170" i="3"/>
  <c r="I170" i="3"/>
  <c r="H170" i="3"/>
  <c r="J169" i="3"/>
  <c r="I169" i="3"/>
  <c r="H169" i="3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J163" i="3"/>
  <c r="I163" i="3"/>
  <c r="H163" i="3"/>
  <c r="J162" i="3"/>
  <c r="I162" i="3"/>
  <c r="H162" i="3"/>
  <c r="J161" i="3"/>
  <c r="I161" i="3"/>
  <c r="H161" i="3"/>
  <c r="J160" i="3"/>
  <c r="I160" i="3"/>
  <c r="H160" i="3"/>
  <c r="J159" i="3"/>
  <c r="I159" i="3"/>
  <c r="H159" i="3"/>
  <c r="J158" i="3"/>
  <c r="I158" i="3"/>
  <c r="H158" i="3"/>
  <c r="J157" i="3"/>
  <c r="I157" i="3"/>
  <c r="H157" i="3"/>
  <c r="J156" i="3"/>
  <c r="I156" i="3"/>
  <c r="H156" i="3"/>
  <c r="J155" i="3"/>
  <c r="I155" i="3"/>
  <c r="H155" i="3"/>
  <c r="J154" i="3"/>
  <c r="I154" i="3"/>
  <c r="H154" i="3"/>
  <c r="J153" i="3"/>
  <c r="I153" i="3"/>
  <c r="H153" i="3"/>
  <c r="J152" i="3"/>
  <c r="I152" i="3"/>
  <c r="H152" i="3"/>
  <c r="J151" i="3"/>
  <c r="I151" i="3"/>
  <c r="H151" i="3"/>
  <c r="J150" i="3"/>
  <c r="I150" i="3"/>
  <c r="H150" i="3"/>
  <c r="J149" i="3"/>
  <c r="I149" i="3"/>
  <c r="H149" i="3"/>
  <c r="J148" i="3"/>
  <c r="I148" i="3"/>
  <c r="H148" i="3"/>
  <c r="J147" i="3"/>
  <c r="I147" i="3"/>
  <c r="H147" i="3"/>
  <c r="J146" i="3"/>
  <c r="I146" i="3"/>
  <c r="H146" i="3"/>
  <c r="J145" i="3"/>
  <c r="I145" i="3"/>
  <c r="H145" i="3"/>
  <c r="J144" i="3"/>
  <c r="I144" i="3"/>
  <c r="H144" i="3"/>
  <c r="J143" i="3"/>
  <c r="I143" i="3"/>
  <c r="H143" i="3"/>
  <c r="J142" i="3"/>
  <c r="I142" i="3"/>
  <c r="H142" i="3"/>
  <c r="J141" i="3"/>
  <c r="I141" i="3"/>
  <c r="H141" i="3"/>
  <c r="J140" i="3"/>
  <c r="I140" i="3"/>
  <c r="H140" i="3"/>
  <c r="J139" i="3"/>
  <c r="I139" i="3"/>
  <c r="H139" i="3"/>
  <c r="J138" i="3"/>
  <c r="I138" i="3"/>
  <c r="H138" i="3"/>
  <c r="J137" i="3"/>
  <c r="I137" i="3"/>
  <c r="H137" i="3"/>
  <c r="J136" i="3"/>
  <c r="I136" i="3"/>
  <c r="H136" i="3"/>
  <c r="J135" i="3"/>
  <c r="I135" i="3"/>
  <c r="H135" i="3"/>
  <c r="J134" i="3"/>
  <c r="I134" i="3"/>
  <c r="H134" i="3"/>
  <c r="J133" i="3"/>
  <c r="I133" i="3"/>
  <c r="H133" i="3"/>
  <c r="J132" i="3"/>
  <c r="I132" i="3"/>
  <c r="H132" i="3"/>
  <c r="J131" i="3"/>
  <c r="I131" i="3"/>
  <c r="H131" i="3"/>
  <c r="J130" i="3"/>
  <c r="I130" i="3"/>
  <c r="H130" i="3"/>
  <c r="J129" i="3"/>
  <c r="I129" i="3"/>
  <c r="H129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H107" i="3"/>
  <c r="J106" i="3"/>
  <c r="I106" i="3"/>
  <c r="H106" i="3"/>
  <c r="J105" i="3"/>
  <c r="I105" i="3"/>
  <c r="H105" i="3"/>
  <c r="J104" i="3"/>
  <c r="I104" i="3"/>
  <c r="H104" i="3"/>
  <c r="J103" i="3"/>
  <c r="I103" i="3"/>
  <c r="H103" i="3"/>
  <c r="J102" i="3"/>
  <c r="I102" i="3"/>
  <c r="H102" i="3"/>
  <c r="J101" i="3"/>
  <c r="I101" i="3"/>
  <c r="H101" i="3"/>
  <c r="J100" i="3"/>
  <c r="I100" i="3"/>
  <c r="H100" i="3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8" i="3"/>
  <c r="I88" i="3"/>
  <c r="H88" i="3"/>
  <c r="J87" i="3"/>
  <c r="I87" i="3"/>
  <c r="H87" i="3"/>
  <c r="J86" i="3"/>
  <c r="I86" i="3"/>
  <c r="H86" i="3"/>
  <c r="J85" i="3"/>
  <c r="I85" i="3"/>
  <c r="H85" i="3"/>
  <c r="J84" i="3"/>
  <c r="I84" i="3"/>
  <c r="H84" i="3"/>
  <c r="J83" i="3"/>
  <c r="I83" i="3"/>
  <c r="H83" i="3"/>
  <c r="J82" i="3"/>
  <c r="I82" i="3"/>
  <c r="H82" i="3"/>
  <c r="J81" i="3"/>
  <c r="I81" i="3"/>
  <c r="H81" i="3"/>
  <c r="J80" i="3"/>
  <c r="I80" i="3"/>
  <c r="H80" i="3"/>
  <c r="J79" i="3"/>
  <c r="I79" i="3"/>
  <c r="H79" i="3"/>
  <c r="J78" i="3"/>
  <c r="I78" i="3"/>
  <c r="H78" i="3"/>
  <c r="J77" i="3"/>
  <c r="I77" i="3"/>
  <c r="H77" i="3"/>
  <c r="J76" i="3"/>
  <c r="I76" i="3"/>
  <c r="H76" i="3"/>
  <c r="J75" i="3"/>
  <c r="I75" i="3"/>
  <c r="H75" i="3"/>
  <c r="J74" i="3"/>
  <c r="I74" i="3"/>
  <c r="H74" i="3"/>
  <c r="J73" i="3"/>
  <c r="I73" i="3"/>
  <c r="H73" i="3"/>
  <c r="J72" i="3"/>
  <c r="I72" i="3"/>
  <c r="H72" i="3"/>
  <c r="J71" i="3"/>
  <c r="I71" i="3"/>
  <c r="H71" i="3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J65" i="3"/>
  <c r="I65" i="3"/>
  <c r="H65" i="3"/>
  <c r="J64" i="3"/>
  <c r="I64" i="3"/>
  <c r="H64" i="3"/>
  <c r="J63" i="3"/>
  <c r="I63" i="3"/>
  <c r="H63" i="3"/>
  <c r="J62" i="3"/>
  <c r="I62" i="3"/>
  <c r="H62" i="3"/>
  <c r="J61" i="3"/>
  <c r="I61" i="3"/>
  <c r="H61" i="3"/>
  <c r="J60" i="3"/>
  <c r="I60" i="3"/>
  <c r="H60" i="3"/>
  <c r="J59" i="3"/>
  <c r="I59" i="3"/>
  <c r="H59" i="3"/>
  <c r="J58" i="3"/>
  <c r="I58" i="3"/>
  <c r="H58" i="3"/>
  <c r="J57" i="3"/>
  <c r="I57" i="3"/>
  <c r="H57" i="3"/>
  <c r="J56" i="3"/>
  <c r="I56" i="3"/>
  <c r="H56" i="3"/>
  <c r="J55" i="3"/>
  <c r="I55" i="3"/>
  <c r="H55" i="3"/>
  <c r="J54" i="3"/>
  <c r="I54" i="3"/>
  <c r="H54" i="3"/>
  <c r="J53" i="3"/>
  <c r="I53" i="3"/>
  <c r="H53" i="3"/>
  <c r="J52" i="3"/>
  <c r="I52" i="3"/>
  <c r="H52" i="3"/>
  <c r="J51" i="3"/>
  <c r="I51" i="3"/>
  <c r="H51" i="3"/>
  <c r="J50" i="3"/>
  <c r="I50" i="3"/>
  <c r="H50" i="3"/>
  <c r="J49" i="3"/>
  <c r="I49" i="3"/>
  <c r="H49" i="3"/>
  <c r="J48" i="3"/>
  <c r="I48" i="3"/>
  <c r="H48" i="3"/>
  <c r="J47" i="3"/>
  <c r="I47" i="3"/>
  <c r="H47" i="3"/>
  <c r="J46" i="3"/>
  <c r="I46" i="3"/>
  <c r="H46" i="3"/>
  <c r="J45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8" i="3"/>
  <c r="I8" i="3"/>
  <c r="H8" i="3"/>
  <c r="J7" i="3"/>
  <c r="I7" i="3"/>
  <c r="H7" i="3"/>
  <c r="J6" i="3"/>
  <c r="I6" i="3"/>
  <c r="H6" i="3"/>
  <c r="J5" i="3"/>
  <c r="I5" i="3"/>
  <c r="H5" i="3"/>
  <c r="J4" i="3"/>
  <c r="I4" i="3"/>
  <c r="H4" i="3"/>
  <c r="J3" i="3"/>
  <c r="I3" i="3"/>
  <c r="H3" i="3"/>
  <c r="J2" i="3"/>
  <c r="I2" i="3"/>
  <c r="H2" i="3"/>
  <c r="L7" i="20" l="1"/>
  <c r="A2" i="20"/>
  <c r="B7" i="21"/>
  <c r="B32" i="21"/>
  <c r="B30" i="21"/>
  <c r="B17" i="21"/>
  <c r="B16" i="21"/>
  <c r="B12" i="21"/>
  <c r="B11" i="21"/>
  <c r="B10" i="21"/>
  <c r="B34" i="21"/>
  <c r="B33" i="21"/>
  <c r="B31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5" i="21"/>
  <c r="B14" i="21"/>
  <c r="B13" i="21"/>
  <c r="B9" i="21"/>
  <c r="B8" i="21"/>
  <c r="B6" i="21"/>
  <c r="B5" i="21"/>
  <c r="B4" i="21"/>
  <c r="A2" i="21"/>
  <c r="G4" i="19"/>
  <c r="I4" i="19" s="1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F2" i="19"/>
  <c r="B4" i="19"/>
  <c r="B5" i="19"/>
  <c r="B6" i="19"/>
  <c r="B7" i="19"/>
  <c r="B8" i="19"/>
  <c r="B9" i="19"/>
  <c r="B10" i="19"/>
  <c r="B11" i="19"/>
  <c r="B12" i="19"/>
  <c r="B13" i="19"/>
  <c r="B15" i="19"/>
  <c r="B16" i="19"/>
  <c r="B17" i="19"/>
  <c r="B18" i="19"/>
  <c r="B19" i="19"/>
  <c r="B20" i="19"/>
  <c r="B21" i="19"/>
  <c r="B22" i="19"/>
  <c r="B24" i="19"/>
  <c r="B25" i="19"/>
  <c r="B26" i="19"/>
  <c r="D26" i="19" s="1"/>
  <c r="B27" i="19"/>
  <c r="B28" i="19"/>
  <c r="B29" i="19"/>
  <c r="B31" i="19"/>
  <c r="B33" i="19"/>
  <c r="A2" i="19"/>
  <c r="B14" i="19"/>
  <c r="B30" i="19"/>
  <c r="B34" i="19"/>
  <c r="B23" i="19"/>
  <c r="B32" i="19"/>
  <c r="G4" i="20" l="1"/>
  <c r="G5" i="20" s="1"/>
  <c r="E4" i="20"/>
  <c r="E5" i="20" s="1"/>
  <c r="B4" i="20"/>
  <c r="B5" i="20" s="1"/>
  <c r="G9" i="20"/>
  <c r="G10" i="20" s="1"/>
  <c r="D9" i="20"/>
  <c r="D10" i="20" s="1"/>
  <c r="D24" i="20"/>
  <c r="D25" i="20" s="1"/>
  <c r="B24" i="20"/>
  <c r="B25" i="20" s="1"/>
  <c r="F4" i="20"/>
  <c r="F5" i="20" s="1"/>
  <c r="C4" i="20"/>
  <c r="C5" i="20" s="1"/>
  <c r="E9" i="20"/>
  <c r="E10" i="20" s="1"/>
  <c r="C9" i="20"/>
  <c r="C10" i="20" s="1"/>
  <c r="A9" i="20"/>
  <c r="A10" i="20" s="1"/>
  <c r="F14" i="20"/>
  <c r="F15" i="20" s="1"/>
  <c r="E14" i="20"/>
  <c r="E15" i="20" s="1"/>
  <c r="C14" i="20"/>
  <c r="C15" i="20" s="1"/>
  <c r="A14" i="20"/>
  <c r="A15" i="20" s="1"/>
  <c r="F19" i="20"/>
  <c r="F20" i="20" s="1"/>
  <c r="D19" i="20"/>
  <c r="D20" i="20" s="1"/>
  <c r="B19" i="20"/>
  <c r="B20" i="20" s="1"/>
  <c r="G24" i="20"/>
  <c r="G25" i="20" s="1"/>
  <c r="E24" i="20"/>
  <c r="E25" i="20" s="1"/>
  <c r="C24" i="20"/>
  <c r="C25" i="20" s="1"/>
  <c r="A24" i="20"/>
  <c r="A25" i="20" s="1"/>
  <c r="G29" i="20"/>
  <c r="G30" i="20" s="1"/>
  <c r="F29" i="20"/>
  <c r="F30" i="20" s="1"/>
  <c r="E29" i="20"/>
  <c r="E30" i="20" s="1"/>
  <c r="D29" i="20"/>
  <c r="D30" i="20" s="1"/>
  <c r="C29" i="20"/>
  <c r="C30" i="20" s="1"/>
  <c r="B29" i="20"/>
  <c r="B30" i="20" s="1"/>
  <c r="A29" i="20"/>
  <c r="A30" i="20" s="1"/>
  <c r="D4" i="20"/>
  <c r="D5" i="20" s="1"/>
  <c r="A4" i="20"/>
  <c r="A5" i="20" s="1"/>
  <c r="F9" i="20"/>
  <c r="F10" i="20" s="1"/>
  <c r="B9" i="20"/>
  <c r="B10" i="20" s="1"/>
  <c r="G14" i="20"/>
  <c r="G15" i="20" s="1"/>
  <c r="D14" i="20"/>
  <c r="D15" i="20" s="1"/>
  <c r="B14" i="20"/>
  <c r="B15" i="20" s="1"/>
  <c r="G19" i="20"/>
  <c r="G20" i="20" s="1"/>
  <c r="E19" i="20"/>
  <c r="E20" i="20" s="1"/>
  <c r="C19" i="20"/>
  <c r="C20" i="20" s="1"/>
  <c r="A19" i="20"/>
  <c r="A20" i="20" s="1"/>
  <c r="F24" i="20"/>
  <c r="F25" i="20" s="1"/>
  <c r="C7" i="21"/>
  <c r="D7" i="21"/>
  <c r="A7" i="21"/>
  <c r="A32" i="21"/>
  <c r="C32" i="21"/>
  <c r="D32" i="21"/>
  <c r="C30" i="21"/>
  <c r="D30" i="21"/>
  <c r="A30" i="21"/>
  <c r="D17" i="21"/>
  <c r="C17" i="21"/>
  <c r="A17" i="21"/>
  <c r="D16" i="21"/>
  <c r="A16" i="21"/>
  <c r="C16" i="21"/>
  <c r="D12" i="21"/>
  <c r="A12" i="21"/>
  <c r="C12" i="21"/>
  <c r="D11" i="21"/>
  <c r="C11" i="21"/>
  <c r="A11" i="21"/>
  <c r="D10" i="21"/>
  <c r="C10" i="21"/>
  <c r="A10" i="21"/>
  <c r="C34" i="21"/>
  <c r="D34" i="21"/>
  <c r="A34" i="21"/>
  <c r="C33" i="21"/>
  <c r="D33" i="21"/>
  <c r="A33" i="21"/>
  <c r="D31" i="21"/>
  <c r="C31" i="21"/>
  <c r="A31" i="21"/>
  <c r="D29" i="21"/>
  <c r="A29" i="21"/>
  <c r="C29" i="21"/>
  <c r="D28" i="21"/>
  <c r="A28" i="21"/>
  <c r="C28" i="21"/>
  <c r="D27" i="21"/>
  <c r="C27" i="21"/>
  <c r="A27" i="21"/>
  <c r="D26" i="21"/>
  <c r="C26" i="21"/>
  <c r="A26" i="21"/>
  <c r="D25" i="21"/>
  <c r="C25" i="21"/>
  <c r="A25" i="21"/>
  <c r="D24" i="21"/>
  <c r="C24" i="21"/>
  <c r="A24" i="21"/>
  <c r="D23" i="21"/>
  <c r="C23" i="21"/>
  <c r="A23" i="21"/>
  <c r="D22" i="21"/>
  <c r="A22" i="21"/>
  <c r="C22" i="21"/>
  <c r="D21" i="21"/>
  <c r="A21" i="21"/>
  <c r="C21" i="21"/>
  <c r="D20" i="21"/>
  <c r="A20" i="21"/>
  <c r="C20" i="21"/>
  <c r="D19" i="21"/>
  <c r="C19" i="21"/>
  <c r="A19" i="21"/>
  <c r="D18" i="21"/>
  <c r="C18" i="21"/>
  <c r="A18" i="21"/>
  <c r="C15" i="21"/>
  <c r="A15" i="21"/>
  <c r="D15" i="21"/>
  <c r="D14" i="21"/>
  <c r="A14" i="21"/>
  <c r="C14" i="21"/>
  <c r="D13" i="21"/>
  <c r="C13" i="21"/>
  <c r="A13" i="21"/>
  <c r="D9" i="21"/>
  <c r="C9" i="21"/>
  <c r="A9" i="21"/>
  <c r="D8" i="21"/>
  <c r="C8" i="21"/>
  <c r="A8" i="21"/>
  <c r="C6" i="21"/>
  <c r="D6" i="21"/>
  <c r="A6" i="21"/>
  <c r="C5" i="21"/>
  <c r="D5" i="21"/>
  <c r="A5" i="21"/>
  <c r="C4" i="21"/>
  <c r="D4" i="21"/>
  <c r="A4" i="21"/>
  <c r="F16" i="19"/>
  <c r="I16" i="19"/>
  <c r="H16" i="19"/>
  <c r="I17" i="19"/>
  <c r="F17" i="19"/>
  <c r="H17" i="19"/>
  <c r="H18" i="19"/>
  <c r="F18" i="19"/>
  <c r="I18" i="19"/>
  <c r="H23" i="19"/>
  <c r="I23" i="19"/>
  <c r="F23" i="19"/>
  <c r="F19" i="19"/>
  <c r="I19" i="19"/>
  <c r="H19" i="19"/>
  <c r="I20" i="19"/>
  <c r="H20" i="19"/>
  <c r="F20" i="19"/>
  <c r="H21" i="19"/>
  <c r="I21" i="19"/>
  <c r="F21" i="19"/>
  <c r="F22" i="19"/>
  <c r="I22" i="19"/>
  <c r="H22" i="19"/>
  <c r="F24" i="19"/>
  <c r="I24" i="19"/>
  <c r="H24" i="19"/>
  <c r="F25" i="19"/>
  <c r="I25" i="19"/>
  <c r="H25" i="19"/>
  <c r="H26" i="19"/>
  <c r="I26" i="19"/>
  <c r="F26" i="19"/>
  <c r="F27" i="19"/>
  <c r="I27" i="19"/>
  <c r="H27" i="19"/>
  <c r="F28" i="19"/>
  <c r="H28" i="19"/>
  <c r="I28" i="19"/>
  <c r="H29" i="19"/>
  <c r="F29" i="19"/>
  <c r="I29" i="19"/>
  <c r="F30" i="19"/>
  <c r="I30" i="19"/>
  <c r="H30" i="19"/>
  <c r="I31" i="19"/>
  <c r="F31" i="19"/>
  <c r="H31" i="19"/>
  <c r="F32" i="19"/>
  <c r="H32" i="19"/>
  <c r="I32" i="19"/>
  <c r="F33" i="19"/>
  <c r="I33" i="19"/>
  <c r="H33" i="19"/>
  <c r="F34" i="19"/>
  <c r="I34" i="19"/>
  <c r="H34" i="19"/>
  <c r="D17" i="19"/>
  <c r="C17" i="19"/>
  <c r="A17" i="19"/>
  <c r="C18" i="19"/>
  <c r="D18" i="19"/>
  <c r="A18" i="19"/>
  <c r="A19" i="19"/>
  <c r="D19" i="19"/>
  <c r="C19" i="19"/>
  <c r="A20" i="19"/>
  <c r="D20" i="19"/>
  <c r="C20" i="19"/>
  <c r="A21" i="19"/>
  <c r="D21" i="19"/>
  <c r="C21" i="19"/>
  <c r="C22" i="19"/>
  <c r="A22" i="19"/>
  <c r="D22" i="19"/>
  <c r="C24" i="19"/>
  <c r="A24" i="19"/>
  <c r="D24" i="19"/>
  <c r="D25" i="19"/>
  <c r="C25" i="19"/>
  <c r="A25" i="19"/>
  <c r="A26" i="19"/>
  <c r="C26" i="19"/>
  <c r="D27" i="19"/>
  <c r="A27" i="19"/>
  <c r="C27" i="19"/>
  <c r="D28" i="19"/>
  <c r="C28" i="19"/>
  <c r="A28" i="19"/>
  <c r="C29" i="19"/>
  <c r="A29" i="19"/>
  <c r="D29" i="19"/>
  <c r="D31" i="19"/>
  <c r="A31" i="19"/>
  <c r="C31" i="19"/>
  <c r="D33" i="19"/>
  <c r="A33" i="19"/>
  <c r="C33" i="19"/>
  <c r="C30" i="19"/>
  <c r="A30" i="19"/>
  <c r="D30" i="19"/>
  <c r="D23" i="19"/>
  <c r="A23" i="19"/>
  <c r="C23" i="19"/>
  <c r="D32" i="19"/>
  <c r="A32" i="19"/>
  <c r="C32" i="19"/>
  <c r="H4" i="19"/>
  <c r="F4" i="19"/>
  <c r="F5" i="19"/>
  <c r="H5" i="19"/>
  <c r="I5" i="19"/>
  <c r="I6" i="19"/>
  <c r="F6" i="19"/>
  <c r="H6" i="19"/>
  <c r="H7" i="19"/>
  <c r="F7" i="19"/>
  <c r="I7" i="19"/>
  <c r="H8" i="19"/>
  <c r="F8" i="19"/>
  <c r="I8" i="19"/>
  <c r="I9" i="19"/>
  <c r="F9" i="19"/>
  <c r="H9" i="19"/>
  <c r="I10" i="19"/>
  <c r="H10" i="19"/>
  <c r="F10" i="19"/>
  <c r="I11" i="19"/>
  <c r="F11" i="19"/>
  <c r="H11" i="19"/>
  <c r="I12" i="19"/>
  <c r="F12" i="19"/>
  <c r="H12" i="19"/>
  <c r="I13" i="19"/>
  <c r="F13" i="19"/>
  <c r="H13" i="19"/>
  <c r="I14" i="19"/>
  <c r="F14" i="19"/>
  <c r="H14" i="19"/>
  <c r="I15" i="19"/>
  <c r="F15" i="19"/>
  <c r="H15" i="19"/>
  <c r="D4" i="19"/>
  <c r="C4" i="19"/>
  <c r="A4" i="19"/>
  <c r="C5" i="19"/>
  <c r="D5" i="19"/>
  <c r="A5" i="19"/>
  <c r="D6" i="19"/>
  <c r="A6" i="19"/>
  <c r="C6" i="19"/>
  <c r="D7" i="19"/>
  <c r="A7" i="19"/>
  <c r="C7" i="19"/>
  <c r="C8" i="19"/>
  <c r="D8" i="19"/>
  <c r="A8" i="19"/>
  <c r="D9" i="19"/>
  <c r="C9" i="19"/>
  <c r="A9" i="19"/>
  <c r="A10" i="19"/>
  <c r="D10" i="19"/>
  <c r="C10" i="19"/>
  <c r="D11" i="19"/>
  <c r="A11" i="19"/>
  <c r="C11" i="19"/>
  <c r="A12" i="19"/>
  <c r="D12" i="19"/>
  <c r="C12" i="19"/>
  <c r="D13" i="19"/>
  <c r="A13" i="19"/>
  <c r="C13" i="19"/>
  <c r="C15" i="19"/>
  <c r="D15" i="19"/>
  <c r="A15" i="19"/>
  <c r="A16" i="19"/>
  <c r="D16" i="19"/>
  <c r="C16" i="19"/>
  <c r="C14" i="19"/>
  <c r="A14" i="19"/>
  <c r="D14" i="19"/>
  <c r="A34" i="19"/>
  <c r="D34" i="19"/>
  <c r="C34" i="19"/>
</calcChain>
</file>

<file path=xl/sharedStrings.xml><?xml version="1.0" encoding="utf-8"?>
<sst xmlns="http://schemas.openxmlformats.org/spreadsheetml/2006/main" count="277" uniqueCount="145">
  <si>
    <t>3ο ΓΥΜΝΑΣΙΟ ΠΟΛΙΧΝΗΣ  ·  ΗΜΕΡΟΛΟΓΙΟ ΔΡΑΣΕΩΝ  ·  ΣΧΟΛΙΚΟ ΕΤΟΣ 2026-27</t>
  </si>
  <si>
    <t>Έτος έναρξης σχολικού έτους:</t>
  </si>
  <si>
    <t>Το μόνο κελί που αλλάζεις για να μεταφερθεί όλο το αρχείο στην επόμενη χρονιά.</t>
  </si>
  <si>
    <t>ΠΩΣ ΔΟΥΛΕΥΕΙ</t>
  </si>
  <si>
    <t>1.</t>
  </si>
  <si>
    <t>Γράφεις κάθε δράση ΜΟΝΟ στο φύλλο ΔΡΑΣΕΙΣ, μία γραμμή ανά δράση.</t>
  </si>
  <si>
    <t>2.</t>
  </si>
  <si>
    <t>3.</t>
  </si>
  <si>
    <t>Το χρώμα κάθε ημέρας βγαίνει από τη στήλη «Κατηγορία». Διάλεξε από τη λίστα του κελιού.</t>
  </si>
  <si>
    <t>ΤΙ ΝΑ ΠΡΟΣΕΞΕΙΣ</t>
  </si>
  <si>
    <t>Πολυήμερες δράσεις</t>
  </si>
  <si>
    <t>Γράψε μία γραμμή για κάθε ημέρα (αντιγραφή–επικόλληση και αλλαγή ημερομηνίας).</t>
  </si>
  <si>
    <t>Πάνω από 3 δράσεις/ημέρα</t>
  </si>
  <si>
    <t>Το ημερολόγιο δείχνει τις τρεις πρώτες. Σπάνιο, αλλά να το ξέρεις.</t>
  </si>
  <si>
    <t>Δύο κατηγορίες την ίδια μέρα</t>
  </si>
  <si>
    <t>Το χρώμα παίρνει την κατηγορία της πρώτης γραμμής εκείνης της ημέρας.</t>
  </si>
  <si>
    <t>Αν κόβεται κείμενο</t>
  </si>
  <si>
    <t>Ctrl+A → Κεντρική → Μορφή → Αυτόματη προσαρμογή ύψους γραμμής.</t>
  </si>
  <si>
    <t>Εκτύπωση</t>
  </si>
  <si>
    <t>ΠΡΟΣΩΠΙΚΑ ΔΕΔΟΜΕΝΑ</t>
  </si>
  <si>
    <t>Σε αντίγραφο που κυκλοφορεί ή αναρτάται, μη γράφεις ονόματα μαθητών – βάλε αρχικά.</t>
  </si>
  <si>
    <t>ΠΡΟΣΩΡΙΝΕΣ ΗΜΕΡΟΜΗΝΙΕΣ</t>
  </si>
  <si>
    <t>Λήξη Α΄ τετραμήνου, επιστροφή μετά το Πάσχα και λήξη μαθημάτων Γυμνασίου</t>
  </si>
  <si>
    <t>οριστικοποιούνται με εγκύκλιο του Υπουργείου. Είναι σημειωμένες ως εκτίμηση.</t>
  </si>
  <si>
    <t>ΥΠΟΜΝΗΜΑ ΧΡΩΜΑΤΩΝ</t>
  </si>
  <si>
    <t>Αργία / Διακοπές</t>
  </si>
  <si>
    <t>Εορτή / Εκκλησιασμός</t>
  </si>
  <si>
    <t>Εκδρομή / Επίσκεψη / Περίπατος</t>
  </si>
  <si>
    <t>Σύλλογος διδασκόντων</t>
  </si>
  <si>
    <t>Ενημέρωση γονέων / Έλεγχοι</t>
  </si>
  <si>
    <t>Ορόσημο / Εξετάσεις</t>
  </si>
  <si>
    <t>Επιμόρφωση εκπαιδευτικών</t>
  </si>
  <si>
    <t>Δράση / Πρόγραμμα / Όμιλος</t>
  </si>
  <si>
    <t>ΚΑΤΗΓΟΡΙΑ</t>
  </si>
  <si>
    <t>ΧΡΩΜΑ</t>
  </si>
  <si>
    <t>Μην αλλάξεις τα ονόματα εδώ: πάνω τους στηρίζονται τα χρώματα σε όλα τα φύλλα.</t>
  </si>
  <si>
    <t>ΗΜΕΡΟΜΗΝΙΑ</t>
  </si>
  <si>
    <t>ΩΡΕΣ</t>
  </si>
  <si>
    <t>ΤΙΤΛΟΣ ΔΡΑΣΗΣ</t>
  </si>
  <si>
    <t>ΤΑΞΕΙΣ / ΤΜΗΜΑΤΑ</t>
  </si>
  <si>
    <t>ΥΠΕΥΘΥΝΟΣ</t>
  </si>
  <si>
    <t>ΣΗΜΕΙΩΣΕΙΣ</t>
  </si>
  <si>
    <t>ΗΜΕΡΑ</t>
  </si>
  <si>
    <t>ΚΛΕΙΔΙ</t>
  </si>
  <si>
    <t>ΕΜΦΑΝΙΣΗ</t>
  </si>
  <si>
    <t>Αγιασμός – Έναρξη σχολικού έτους. Διαμοιρασμός σε τμήματα.</t>
  </si>
  <si>
    <t>Έναρξη μαθημάτων</t>
  </si>
  <si>
    <t>Αγίου Δημητρίου – Ελευθέρια Θεσσαλονίκης (τοπική αργία)</t>
  </si>
  <si>
    <t>Εορταστικές εκδηλώσεις για την 28η Οκτωβρίου (χωρίς μάθημα)</t>
  </si>
  <si>
    <t>Εθνική επέτειος 28ης Οκτωβρίου – Αργία</t>
  </si>
  <si>
    <t>08:45-11:15</t>
  </si>
  <si>
    <t>Διαδικτυακή εκπαίδευση «Kids Save Lives» – επιμορφωτική δράση για μαθητές και εκπαιδευτικούς</t>
  </si>
  <si>
    <t>Εκδηλώσεις για την επέτειο του Πολυτεχνείου</t>
  </si>
  <si>
    <t>Τελευταία ημέρα μαθημάτων πριν τις διακοπές</t>
  </si>
  <si>
    <t>Διακοπές Χριστουγέννων</t>
  </si>
  <si>
    <t>Επαναλειτουργία σχολείου</t>
  </si>
  <si>
    <t>Λήξη Α΄ τετραμήνου (εκτίμηση – εκκρεμεί εγκύκλιος)</t>
  </si>
  <si>
    <t>Εορτή Τριών Ιεραρχών (πέφτει Σάββατο)</t>
  </si>
  <si>
    <t>Καθαρά Δευτέρα – Αργία</t>
  </si>
  <si>
    <t>Σχολική εορτή για την 25η Μαρτίου</t>
  </si>
  <si>
    <t>Εθνική επέτειος 25ης Μαρτίου – Αργία</t>
  </si>
  <si>
    <t>Διακοπές Πάσχα</t>
  </si>
  <si>
    <t>Επαναλειτουργία σχολείου μετά το Πάσχα (εκτίμηση)</t>
  </si>
  <si>
    <t>Αγίου Πνεύματος – Αργία</t>
  </si>
  <si>
    <t>Λήξη διδακτικού έτους</t>
  </si>
  <si>
    <t>ΗΜ/ΝΙΑ</t>
  </si>
  <si>
    <t>ΔΡΑΣΕΙΣ ΤΗΣ ΗΜΕΡΑΣ</t>
  </si>
  <si>
    <t>ΥΠΟΜΝΗΜΑ</t>
  </si>
  <si>
    <t>ΜΗΝΑΣ</t>
  </si>
  <si>
    <t>ΑΡ.</t>
  </si>
  <si>
    <t>ΕΤΟΣ+</t>
  </si>
  <si>
    <t>ΣΕΠΤΕΜΒΡΙΟΣ</t>
  </si>
  <si>
    <t>ΟΚΤΩΒΡΙΟΣ</t>
  </si>
  <si>
    <t>ΝΟΕΜΒΡΙΟΣ</t>
  </si>
  <si>
    <t>ΔΕΚΕΜΒΡΙΟΣ</t>
  </si>
  <si>
    <t>ΙΑΝΟΥΑΡΙΟΣ</t>
  </si>
  <si>
    <t>ΦΕΒΡΟΥΑΡΙΟΣ</t>
  </si>
  <si>
    <t>ΜΑΡΤΙΟΣ</t>
  </si>
  <si>
    <t>ΑΠΡΙΛΙΟΣ</t>
  </si>
  <si>
    <t>ΜΑΪΟΣ</t>
  </si>
  <si>
    <t>ΙΟΥΝΙΟΣ</t>
  </si>
  <si>
    <t>ΕΠΙΛΟΓΗ ΜΗΝΩΝ (βοηθητικά – δεν εκτυπώνονται)</t>
  </si>
  <si>
    <t>Μήνας αριστερά:</t>
  </si>
  <si>
    <t>Μήνας δεξιά:</t>
  </si>
  <si>
    <t>αρ. μήνα Α</t>
  </si>
  <si>
    <t>έτος Α</t>
  </si>
  <si>
    <t>αρ. μήνα Β</t>
  </si>
  <si>
    <t>έτος Β</t>
  </si>
  <si>
    <t>Το φύλλο ΑΦΙΣΑ_ΕΠΙΛΟΓΗΣ ενημερώνεται αυτόματα.</t>
  </si>
  <si>
    <t>ΕΠΙΛΟΓΗ ΜΗΝΑ (βοηθητικά – δεν εκτυπώνονται)</t>
  </si>
  <si>
    <t>Μήνας:</t>
  </si>
  <si>
    <t>4.</t>
  </si>
  <si>
    <t>ΒΗΜΑ–ΒΗΜΑ: ΠΩΣ ΠΡΟΣΘΕΤΩ ΜΙΑ ΝΕΑ ΔΡΑΣΗ</t>
  </si>
  <si>
    <t>Βήμα 1</t>
  </si>
  <si>
    <t>Πήγαινε στο φύλλο ΔΡΑΣΕΙΣ (καρτέλα κάτω κάτω στην οθόνη). Όλες οι δράσεις γράφονται ΜΟΝΟ εκεί.</t>
  </si>
  <si>
    <t>Βήμα 2</t>
  </si>
  <si>
    <t>Κατέβα στο τέλος του πίνακα: πάτα Ctrl + Κάτω βέλος. Η πρώτη κενή γραμμή είναι βαμμένη ανοιχτό κίτρινο – αυτή είναι η σειρά σου.</t>
  </si>
  <si>
    <t>Βήμα 3</t>
  </si>
  <si>
    <t>Συμπλήρωσε τα κελιά A έως G αυτής της κίτρινης γραμμής (τι ακριβώς γράφεις σε κάθε στήλη: πιο κάτω). Μην προσθέτεις γραμμή στη μέση του πίνακα.</t>
  </si>
  <si>
    <t>Βήμα 4</t>
  </si>
  <si>
    <t>Μόλις διαλέξεις Κατηγορία, η γραμμή παίρνει το χρώμα της και η επόμενη κενή γραμμή γίνεται η νέα «κίτρινη». Αν δεν αλλάξει χρώμα, κάτι λείπει (συνήθως η ημερομηνία).</t>
  </si>
  <si>
    <t>Βήμα 5</t>
  </si>
  <si>
    <t>Βάλ' τες στη σειρά: κλικ σε ένα κελί της στήλης ΗΜΕΡΟΜΗΝΙΑ → βελάκι στην κεφαλίδα «ΗΜΕΡΟΜΗΝΙΑ» → Αύξουσα ταξινόμηση (παλαιότερο → νεότερο). Τέλος, δες στο ΑΦΙΣΑ_ΕΠΙΛΟΓΗΣ ότι η δράση εμφανίστηκε στη σωστή μέρα.</t>
  </si>
  <si>
    <t>ΤΙ ΓΡΑΦΩ ΣΕ ΚΑΘΕ ΣΤΗΛΗ ΤΗΣ ΚΙΤΡΙΝΗΣ ΓΡΑΜΜΗΣ</t>
  </si>
  <si>
    <t>A · ΗΜΕΡΟΜΗΝΙΑ  (υποχρεωτικό)</t>
  </si>
  <si>
    <t>Η ημέρα της δράσης, π.χ. 17/11/2026. Γράφεις 17/11/26 και μορφοποιείται μόνο του. Χωρίς ημερομηνία η γραμμή ΔΕΝ εμφανίζεται πουθενά.</t>
  </si>
  <si>
    <t>B · ΩΡΕΣ  (προαιρετικό)</t>
  </si>
  <si>
    <t>Π.χ. 09:00–11:00 ή «1η–2η ώρα». Εμφανίζεται μπροστά από τον τίτλο στην αφίσα. Άφησέ το κενό αν δεν χρειάζεται (π.χ. σε αργίες).</t>
  </si>
  <si>
    <t>C · ΤΙΤΛΟΣ ΔΡΑΣΗΣ  (υποχρεωτικό)</t>
  </si>
  <si>
    <t>Μία σύντομη φράση, π.χ. «Επίσκεψη στο ΝΟΗΣΙΣ». Αυτό διαβάζει ο κόσμος στην αφίσα – κράτα το ως περίπου 60 χαρακτήρες για να μην κόβεται.</t>
  </si>
  <si>
    <t>D · ΚΑΤΗΓΟΡΙΑ  (υποχρεωτικό)</t>
  </si>
  <si>
    <t>Κλικ στο κελί → βελάκι δεξιά → διάλεξε μία από τις 8 έτοιμες επιλογές. ΜΗΝ γράφεις δική σου λέξη: από εδώ βγαίνει το χρώμα της ημέρας στην αφίσα (δες υπόμνημα χρωμάτων πιο κάτω).</t>
  </si>
  <si>
    <t>E · ΤΑΞΕΙΣ / ΤΜΗΜΑΤΑ  (προαιρετικό)</t>
  </si>
  <si>
    <t>Π.χ. «Α1, Α2» ή «Β΄ τάξη» ή «όλο το σχολείο». Μπαίνει σε παρένθεση μετά τον τίτλο στην αφίσα. Αν μια δράση έχει διαφορετικά τμήματα σε διαφορετικές ώρες, χώρισέ τα με « / » και στις δύο στήλες με την ίδια σειρά, π.χ. ΩΡΕΣ «2η–3η ώρα / 4η–5η ώρα» και ΤΜΗΜΑΤΑ «Α1, Α2 / Α3».</t>
  </si>
  <si>
    <t>F · ΥΠΕΥΘΥΝΟΣ  (προαιρετικό)</t>
  </si>
  <si>
    <t>Ο συνάδελφος που έχει την ευθύνη ή συνοδεύει. ΔΕΝ εμφανίζεται στην αφίσα – είναι μόνο για εσωτερική χρήση.</t>
  </si>
  <si>
    <t>G · ΣΗΜΕΙΩΣΕΙΣ  (προαιρετικό)</t>
  </si>
  <si>
    <t>Ό,τι θέλεις να θυμάσαι: κόστος, λεωφορείο, αριθμός πρωτοκόλλου, εκκρεμότητες. ΔΕΝ εμφανίζεται στην αφίσα.</t>
  </si>
  <si>
    <t>H, I, J  (γκρι στήλες)</t>
  </si>
  <si>
    <t>ΗΜΕΡΑ, ΚΛΕΙΔΙ, ΕΜΦΑΝΙΣΗ: συμπληρώνονται μόνες τους με τύπους. ΜΗΝ γράφεις και μην σβήνεις τίποτα εκεί.</t>
  </si>
  <si>
    <t>ΠΑΡΑΔΕΙΓΜΑ ΣΥΜΠΛΗΡΩΜΕΝΗΣ ΓΡΑΜΜΗΣ</t>
  </si>
  <si>
    <t>Γράφω στα κελιά:</t>
  </si>
  <si>
    <t>A: 17/11/2026  |  B: 09:00–12:00  |  C: Επίσκεψη στο ΝΟΗΣΙΣ  |  D: Εκδρομή / Επίσκεψη / Περίπατος  |  E: Β1, Β2  |  F: Κ. Παπαδόπουλος  |  G: 2 λεωφορεία – πληρωμή ως 15/11</t>
  </si>
  <si>
    <t>Βγαίνει στην αφίσα:</t>
  </si>
  <si>
    <t>«09:00–12:00  Επίσκεψη στο ΝΟΗΣΙΣ  (Β1, Β2)» στην τετράδα της 17ης Νοεμβρίου, με πράσινο φόντο (χρώμα της κατηγορίας «Εκδρομή»).</t>
  </si>
  <si>
    <t>Νέα δράση: γράψε την στην κίτρινη (πρώτη κενή) γραμμή στο τέλος – αναλυτικά βήμα–βήμα πιο κάτω.</t>
  </si>
  <si>
    <t>αρ. μήνα</t>
  </si>
  <si>
    <t>έτος</t>
  </si>
  <si>
    <t>1η μέρα πλέγματος</t>
  </si>
  <si>
    <t>ΔΕΥΤΕΡΑ</t>
  </si>
  <si>
    <t>ΤΡΙΤΗ</t>
  </si>
  <si>
    <t>ΤΕΤΑΡΤΗ</t>
  </si>
  <si>
    <t>ΠΕΜΠΤΗ</t>
  </si>
  <si>
    <t>ΠΑΡΑΣΚΕΥΗ</t>
  </si>
  <si>
    <t>ΣΑΒΒΑΤΟ</t>
  </si>
  <si>
    <t>ΚΥΡΙΑΚΗ</t>
  </si>
  <si>
    <t>ΣΗΜΕΙΩΣΕΙΣ ΜΗΝΑ</t>
  </si>
  <si>
    <t>ΑΦΙΣΑ_ΕΠΙΛΟΓΗΣ: δύο μήνες (L2, L3) → Α3 οριζόντια. ΑΦΙΣΑ_1ΜΗΝΑΣ: ημερολόγιο-πλέγμα ενός μήνα με χώρο για χειρόγραφες σημειώσεις (μήνας στο L2) → Α3 οριζόντια.</t>
  </si>
  <si>
    <t>09:00-12.30</t>
  </si>
  <si>
    <t>Μουσείο Μακεδονικού Αγώνα και διαδραστική έκθεση Van Gogh – The Immersive Experience (ΔΕΘ Helexpo)</t>
  </si>
  <si>
    <t>2η–3η ώρα / 4η–5η ώρα</t>
  </si>
  <si>
    <t>Α΄ τάξη: Επιμορφωτική δράση από «Το Χαμόγελο του Παιδιού»</t>
  </si>
  <si>
    <t>Α1, Α2 / Α3</t>
  </si>
  <si>
    <t>08:00-14:10</t>
  </si>
  <si>
    <t>Επίσκεψη στο Σπήλαιο Αλιστράτης και στο ΚΠΕ Ποροΐων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</si>
</sst>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"/>
    <numFmt numFmtId="166" formatCode="d"/>
  </numFmts>
  <fonts count="3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i/>
      <sz val="10"/>
      <color rgb="FF666666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color rgb="FF808080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sz val="8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9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9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Arial"/>
    </font>
    <font>
      <b/>
      <sz val="12"/>
      <color rgb="FFFFFFFF"/>
      <name val="Arial"/>
      <charset val="1"/>
    </font>
    <font>
      <sz val="11"/>
      <color rgb="FF000000"/>
      <name val="Arial"/>
    </font>
    <font>
      <b/>
      <sz val="11"/>
      <color rgb="FF000000"/>
      <name val="Arial"/>
    </font>
    <font>
      <sz val="11"/>
      <color rgb="FF808080"/>
      <name val="Arial"/>
    </font>
    <font>
      <i/>
      <sz val="11"/>
      <color rgb="FF000000"/>
      <name val="Arial"/>
    </font>
    <font>
      <b/>
      <sz val="11"/>
      <name val="Arial"/>
      <family val="2"/>
      <charset val="161"/>
    </font>
    <font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4"/>
      <color rgb="FFFFFFFF"/>
      <name val="Calibri"/>
      <family val="2"/>
      <charset val="1"/>
    </font>
    <font>
      <b/>
      <sz val="20"/>
      <color rgb="FFFFFFFF"/>
      <name val="Calibri"/>
      <family val="2"/>
      <charset val="1"/>
    </font>
    <font>
      <b/>
      <sz val="11"/>
      <color rgb="FF1F3864"/>
      <name val="Arial"/>
    </font>
    <font>
      <b/>
      <sz val="13"/>
      <color rgb="FF000000"/>
      <name val="Arial"/>
    </font>
    <font>
      <sz val="8"/>
      <color rgb="FF000000"/>
      <name val="Arial"/>
    </font>
  </fonts>
  <fills count="3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4E4E4"/>
      </patternFill>
    </fill>
    <fill>
      <patternFill patternType="solid">
        <fgColor rgb="FFF4B6B6"/>
        <bgColor rgb="FFF9C08A"/>
      </patternFill>
    </fill>
    <fill>
      <patternFill patternType="solid">
        <fgColor rgb="FFFFE08A"/>
        <bgColor rgb="FFF9C08A"/>
      </patternFill>
    </fill>
    <fill>
      <patternFill patternType="solid">
        <fgColor rgb="FFB7DE9C"/>
        <bgColor rgb="FF9FD8CE"/>
      </patternFill>
    </fill>
    <fill>
      <patternFill patternType="solid">
        <fgColor rgb="FFD0CECE"/>
        <bgColor rgb="FFC4B5DC"/>
      </patternFill>
    </fill>
    <fill>
      <patternFill patternType="solid">
        <fgColor rgb="FFF9C08A"/>
        <bgColor rgb="FFF4B6B6"/>
      </patternFill>
    </fill>
    <fill>
      <patternFill patternType="solid">
        <fgColor rgb="FFA9CDEB"/>
        <bgColor rgb="FF9FD8CE"/>
      </patternFill>
    </fill>
    <fill>
      <patternFill patternType="solid">
        <fgColor rgb="FFC4B5DC"/>
        <bgColor rgb="FFD0CECE"/>
      </patternFill>
    </fill>
    <fill>
      <patternFill patternType="solid">
        <fgColor rgb="FF9FD8CE"/>
        <bgColor rgb="FFA9CDEB"/>
      </patternFill>
    </fill>
    <fill>
      <patternFill patternType="solid">
        <fgColor rgb="FF1F3864"/>
        <bgColor rgb="FF333333"/>
      </patternFill>
    </fill>
    <fill>
      <patternFill patternType="solid">
        <fgColor rgb="FFFFE08A"/>
        <bgColor indexed="64"/>
      </patternFill>
    </fill>
    <fill>
      <patternFill patternType="solid">
        <fgColor rgb="FFA9CDEB"/>
        <bgColor indexed="64"/>
      </patternFill>
    </fill>
    <fill>
      <patternFill patternType="solid">
        <fgColor rgb="FFF4B6B6"/>
        <bgColor indexed="64"/>
      </patternFill>
    </fill>
    <fill>
      <patternFill patternType="solid">
        <fgColor rgb="FFC4B5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9C08A"/>
        <bgColor indexed="64"/>
      </patternFill>
    </fill>
    <fill>
      <patternFill patternType="solid">
        <fgColor rgb="FF9FD8CE"/>
        <bgColor indexed="64"/>
      </patternFill>
    </fill>
    <fill>
      <patternFill patternType="solid">
        <fgColor rgb="FFB7DE9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7F7F7"/>
        <bgColor indexed="64"/>
      </patternFill>
    </fill>
  </fills>
  <borders count="1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/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/>
      <bottom style="dotted">
        <color rgb="FFA6A6A6"/>
      </bottom>
      <diagonal/>
    </border>
    <border>
      <left style="medium">
        <color rgb="FF1F3864"/>
      </left>
      <right style="medium">
        <color rgb="FF1F3864"/>
      </right>
      <top style="dotted">
        <color rgb="FFA6A6A6"/>
      </top>
      <bottom/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1F3864"/>
      </left>
      <right/>
      <top style="thin">
        <color rgb="FF1F3864"/>
      </top>
      <bottom style="dotted">
        <color rgb="FFA6A6A6"/>
      </bottom>
      <diagonal/>
    </border>
    <border>
      <left/>
      <right/>
      <top style="thin">
        <color rgb="FF1F3864"/>
      </top>
      <bottom style="dotted">
        <color rgb="FFA6A6A6"/>
      </bottom>
      <diagonal/>
    </border>
    <border>
      <left/>
      <right style="thin">
        <color rgb="FF1F3864"/>
      </right>
      <top style="thin">
        <color rgb="FF1F3864"/>
      </top>
      <bottom style="dotted">
        <color rgb="FFA6A6A6"/>
      </bottom>
      <diagonal/>
    </border>
    <border>
      <left style="thin">
        <color rgb="FF1F3864"/>
      </left>
      <right/>
      <top style="dotted">
        <color rgb="FFA6A6A6"/>
      </top>
      <bottom style="thin">
        <color rgb="FF1F3864"/>
      </bottom>
      <diagonal/>
    </border>
    <border>
      <left/>
      <right/>
      <top style="dotted">
        <color rgb="FFA6A6A6"/>
      </top>
      <bottom style="thin">
        <color rgb="FF1F3864"/>
      </bottom>
      <diagonal/>
    </border>
    <border>
      <left/>
      <right style="thin">
        <color rgb="FF1F3864"/>
      </right>
      <top style="dotted">
        <color rgb="FFA6A6A6"/>
      </top>
      <bottom style="thin">
        <color rgb="FF1F38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5" borderId="1" xfId="0" applyFill="1" applyBorder="1"/>
    <xf numFmtId="0" fontId="5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6" fillId="13" borderId="0" xfId="0" applyFont="1" applyFill="1"/>
    <xf numFmtId="0" fontId="5" fillId="0" borderId="1" xfId="0" applyFont="1" applyBorder="1"/>
    <xf numFmtId="0" fontId="6" fillId="13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1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0" xfId="0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14" fillId="0" borderId="0" xfId="0" applyFont="1"/>
    <xf numFmtId="0" fontId="15" fillId="13" borderId="2" xfId="0" applyFont="1" applyFill="1" applyBorder="1" applyAlignment="1">
      <alignment horizontal="center" vertical="center"/>
    </xf>
    <xf numFmtId="0" fontId="16" fillId="0" borderId="0" xfId="0" applyFont="1"/>
    <xf numFmtId="0" fontId="8" fillId="18" borderId="2" xfId="0" applyFont="1" applyFill="1" applyBorder="1" applyAlignment="1">
      <alignment horizontal="center" vertical="center"/>
    </xf>
    <xf numFmtId="0" fontId="17" fillId="18" borderId="0" xfId="0" applyFont="1" applyFill="1"/>
    <xf numFmtId="0" fontId="16" fillId="18" borderId="0" xfId="0" applyFont="1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0" borderId="0" xfId="0" applyAlignment="1">
      <alignment vertical="top" wrapText="1"/>
    </xf>
    <xf numFmtId="0" fontId="6" fillId="23" borderId="1" xfId="0" applyFont="1" applyFill="1" applyBorder="1" applyAlignment="1">
      <alignment horizontal="center" vertical="center" wrapText="1"/>
    </xf>
    <xf numFmtId="0" fontId="20" fillId="0" borderId="0" xfId="0" applyFont="1"/>
    <xf numFmtId="0" fontId="21" fillId="24" borderId="0" xfId="0" applyFont="1" applyFill="1" applyAlignment="1">
      <alignment vertical="top"/>
    </xf>
    <xf numFmtId="0" fontId="20" fillId="24" borderId="0" xfId="0" applyFont="1" applyFill="1" applyAlignment="1">
      <alignment vertical="top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4" fillId="18" borderId="3" xfId="0" applyFont="1" applyFill="1" applyBorder="1" applyAlignment="1">
      <alignment vertical="top" wrapText="1"/>
    </xf>
    <xf numFmtId="0" fontId="24" fillId="18" borderId="4" xfId="0" applyFont="1" applyFill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164" fontId="26" fillId="0" borderId="0" xfId="0" applyNumberFormat="1" applyFont="1"/>
    <xf numFmtId="0" fontId="27" fillId="0" borderId="0" xfId="0" applyFont="1"/>
    <xf numFmtId="0" fontId="27" fillId="18" borderId="0" xfId="0" applyFont="1" applyFill="1"/>
    <xf numFmtId="166" fontId="31" fillId="0" borderId="6" xfId="0" applyNumberFormat="1" applyFont="1" applyBorder="1" applyAlignment="1">
      <alignment horizontal="right" vertical="center"/>
    </xf>
    <xf numFmtId="0" fontId="32" fillId="0" borderId="7" xfId="0" applyFont="1" applyBorder="1" applyAlignment="1">
      <alignment horizontal="left" vertical="top" wrapText="1"/>
    </xf>
    <xf numFmtId="0" fontId="25" fillId="0" borderId="7" xfId="0" applyFont="1" applyBorder="1"/>
    <xf numFmtId="0" fontId="25" fillId="0" borderId="8" xfId="0" applyFont="1" applyBorder="1"/>
    <xf numFmtId="0" fontId="25" fillId="0" borderId="9" xfId="0" applyFont="1" applyBorder="1"/>
    <xf numFmtId="0" fontId="25" fillId="0" borderId="10" xfId="0" applyFont="1" applyBorder="1"/>
    <xf numFmtId="166" fontId="31" fillId="0" borderId="10" xfId="0" applyNumberFormat="1" applyFont="1" applyBorder="1" applyAlignment="1">
      <alignment horizontal="right" vertical="center"/>
    </xf>
    <xf numFmtId="0" fontId="30" fillId="28" borderId="5" xfId="0" applyFont="1" applyFill="1" applyBorder="1" applyAlignment="1">
      <alignment horizontal="center" vertical="center"/>
    </xf>
    <xf numFmtId="0" fontId="30" fillId="25" borderId="5" xfId="0" applyFont="1" applyFill="1" applyBorder="1" applyAlignment="1">
      <alignment horizontal="center" vertical="center"/>
    </xf>
    <xf numFmtId="0" fontId="25" fillId="29" borderId="7" xfId="0" applyFont="1" applyFill="1" applyBorder="1"/>
    <xf numFmtId="0" fontId="25" fillId="29" borderId="8" xfId="0" applyFont="1" applyFill="1" applyBorder="1"/>
    <xf numFmtId="0" fontId="25" fillId="29" borderId="10" xfId="0" applyFont="1" applyFill="1" applyBorder="1"/>
    <xf numFmtId="0" fontId="25" fillId="29" borderId="9" xfId="0" applyFont="1" applyFill="1" applyBorder="1"/>
    <xf numFmtId="0" fontId="26" fillId="16" borderId="12" xfId="0" applyFont="1" applyFill="1" applyBorder="1" applyAlignment="1">
      <alignment horizontal="center" vertical="center"/>
    </xf>
    <xf numFmtId="0" fontId="26" fillId="14" borderId="12" xfId="0" applyFont="1" applyFill="1" applyBorder="1" applyAlignment="1">
      <alignment horizontal="center" vertical="center"/>
    </xf>
    <xf numFmtId="0" fontId="26" fillId="21" borderId="12" xfId="0" applyFont="1" applyFill="1" applyBorder="1" applyAlignment="1">
      <alignment horizontal="center" vertical="center"/>
    </xf>
    <xf numFmtId="0" fontId="26" fillId="19" borderId="1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26" fillId="17" borderId="12" xfId="0" applyFont="1" applyFill="1" applyBorder="1" applyAlignment="1">
      <alignment horizontal="center" vertical="center"/>
    </xf>
    <xf numFmtId="0" fontId="26" fillId="22" borderId="11" xfId="0" applyFont="1" applyFill="1" applyBorder="1" applyAlignment="1">
      <alignment horizontal="center" vertical="center"/>
    </xf>
    <xf numFmtId="0" fontId="26" fillId="20" borderId="11" xfId="0" applyFont="1" applyFill="1" applyBorder="1" applyAlignment="1">
      <alignment horizontal="center" vertical="center"/>
    </xf>
    <xf numFmtId="0" fontId="25" fillId="0" borderId="13" xfId="0" applyFont="1" applyBorder="1"/>
    <xf numFmtId="0" fontId="25" fillId="0" borderId="14" xfId="0" applyFont="1" applyBorder="1"/>
    <xf numFmtId="0" fontId="25" fillId="0" borderId="15" xfId="0" applyFont="1" applyBorder="1"/>
    <xf numFmtId="0" fontId="25" fillId="0" borderId="16" xfId="0" applyFont="1" applyBorder="1"/>
    <xf numFmtId="0" fontId="25" fillId="0" borderId="17" xfId="0" applyFont="1" applyBorder="1"/>
    <xf numFmtId="0" fontId="25" fillId="0" borderId="18" xfId="0" applyFont="1" applyBorder="1"/>
    <xf numFmtId="0" fontId="28" fillId="26" borderId="0" xfId="0" applyFont="1" applyFill="1" applyAlignment="1">
      <alignment horizontal="center" vertical="center"/>
    </xf>
    <xf numFmtId="0" fontId="29" fillId="27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4" fillId="0" borderId="0" xfId="0" applyFont="1"/>
    <xf numFmtId="0" fontId="12" fillId="0" borderId="0" xfId="0" applyFont="1" applyAlignment="1">
      <alignment vertical="center" indent="1"/>
    </xf>
    <xf numFmtId="0" fontId="1" fillId="1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8" fillId="0" borderId="0" xfId="0" applyFont="1"/>
    <xf numFmtId="0" fontId="0" fillId="0" borderId="0" xfId="0"/>
    <xf numFmtId="0" fontId="0" fillId="20" borderId="1" xfId="0" applyFill="1" applyBorder="1"/>
    <xf numFmtId="0" fontId="0" fillId="17" borderId="1" xfId="0" applyFill="1" applyBorder="1"/>
  </cellXfs>
  <cellStyles count="1">
    <cellStyle name="Κανονικό" xfId="0" builtinId="0"/>
  </cellStyles>
  <dxfs count="45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DEDED"/>
        </patternFill>
      </fill>
    </dxf>
    <dxf>
      <fill>
        <patternFill patternType="solid">
          <fgColor indexed="64"/>
          <bgColor rgb="FFC4B5DC"/>
        </patternFill>
      </fill>
    </dxf>
    <dxf>
      <fill>
        <patternFill patternType="solid">
          <fgColor indexed="64"/>
          <bgColor rgb="FF9FD8CE"/>
        </patternFill>
      </fill>
    </dxf>
    <dxf>
      <fill>
        <patternFill patternType="solid">
          <fgColor indexed="64"/>
          <bgColor rgb="FFA9CDEB"/>
        </patternFill>
      </fill>
    </dxf>
    <dxf>
      <fill>
        <patternFill patternType="solid">
          <fgColor indexed="64"/>
          <bgColor rgb="FFF9C08A"/>
        </patternFill>
      </fill>
    </dxf>
    <dxf>
      <fill>
        <patternFill patternType="solid">
          <fgColor indexed="64"/>
          <bgColor rgb="FFD0CECE"/>
        </patternFill>
      </fill>
    </dxf>
    <dxf>
      <fill>
        <patternFill patternType="solid">
          <fgColor indexed="64"/>
          <bgColor rgb="FFB7DE9C"/>
        </patternFill>
      </fill>
    </dxf>
    <dxf>
      <fill>
        <patternFill patternType="solid">
          <fgColor indexed="64"/>
          <bgColor rgb="FFFFE08A"/>
        </patternFill>
      </fill>
    </dxf>
    <dxf>
      <fill>
        <patternFill patternType="solid">
          <fgColor indexed="64"/>
          <bgColor rgb="FFF4B6B6"/>
        </patternFill>
      </fill>
    </dxf>
    <dxf>
      <fill>
        <patternFill>
          <bgColor rgb="FFE4E4E4"/>
        </patternFill>
      </fill>
    </dxf>
    <dxf>
      <fill>
        <patternFill patternType="solid">
          <fgColor indexed="64"/>
          <bgColor rgb="FFC4B5DC"/>
        </patternFill>
      </fill>
    </dxf>
    <dxf>
      <fill>
        <patternFill patternType="solid">
          <fgColor indexed="64"/>
          <bgColor rgb="FF9FD8CE"/>
        </patternFill>
      </fill>
    </dxf>
    <dxf>
      <fill>
        <patternFill>
          <bgColor rgb="FFA9CDEB"/>
        </patternFill>
      </fill>
    </dxf>
    <dxf>
      <fill>
        <patternFill>
          <bgColor rgb="FFF9C08A"/>
        </patternFill>
      </fill>
    </dxf>
    <dxf>
      <fill>
        <patternFill>
          <bgColor rgb="FFD0CECE"/>
        </patternFill>
      </fill>
    </dxf>
    <dxf>
      <fill>
        <patternFill>
          <bgColor rgb="FFB7DE9C"/>
        </patternFill>
      </fill>
    </dxf>
    <dxf>
      <fill>
        <patternFill>
          <bgColor rgb="FFFFE08A"/>
        </patternFill>
      </fill>
    </dxf>
    <dxf>
      <fill>
        <patternFill>
          <bgColor rgb="FFF4B6B6"/>
        </patternFill>
      </fill>
    </dxf>
    <dxf>
      <fill>
        <patternFill>
          <bgColor rgb="FFE4E4E4"/>
        </patternFill>
      </fill>
    </dxf>
    <dxf>
      <fill>
        <patternFill patternType="solid">
          <fgColor indexed="64"/>
          <bgColor rgb="FFC4B5DC"/>
        </patternFill>
      </fill>
    </dxf>
    <dxf>
      <fill>
        <patternFill patternType="solid">
          <fgColor indexed="64"/>
          <bgColor rgb="FF9FD8CE"/>
        </patternFill>
      </fill>
    </dxf>
    <dxf>
      <fill>
        <patternFill>
          <bgColor rgb="FFA9CDEB"/>
        </patternFill>
      </fill>
    </dxf>
    <dxf>
      <fill>
        <patternFill>
          <bgColor rgb="FFF9C08A"/>
        </patternFill>
      </fill>
    </dxf>
    <dxf>
      <fill>
        <patternFill>
          <bgColor rgb="FFD0CECE"/>
        </patternFill>
      </fill>
    </dxf>
    <dxf>
      <fill>
        <patternFill>
          <bgColor rgb="FFB7DE9C"/>
        </patternFill>
      </fill>
    </dxf>
    <dxf>
      <fill>
        <patternFill>
          <bgColor rgb="FFFFE08A"/>
        </patternFill>
      </fill>
    </dxf>
    <dxf>
      <fill>
        <patternFill>
          <bgColor rgb="FFF4B6B6"/>
        </patternFill>
      </fill>
    </dxf>
    <dxf>
      <fill>
        <patternFill>
          <bgColor rgb="FFE4E4E4"/>
        </patternFill>
      </fill>
    </dxf>
    <dxf>
      <fill>
        <patternFill patternType="solid">
          <fgColor indexed="64"/>
          <bgColor rgb="FFC4B5DC"/>
        </patternFill>
      </fill>
    </dxf>
    <dxf>
      <fill>
        <patternFill patternType="solid">
          <fgColor indexed="64"/>
          <bgColor rgb="FF9FD8CE"/>
        </patternFill>
      </fill>
    </dxf>
    <dxf>
      <fill>
        <patternFill>
          <bgColor rgb="FFA9CDEB"/>
        </patternFill>
      </fill>
    </dxf>
    <dxf>
      <fill>
        <patternFill>
          <bgColor rgb="FFF9C08A"/>
        </patternFill>
      </fill>
    </dxf>
    <dxf>
      <fill>
        <patternFill>
          <bgColor rgb="FFD0CECE"/>
        </patternFill>
      </fill>
    </dxf>
    <dxf>
      <fill>
        <patternFill>
          <bgColor rgb="FFB7DE9C"/>
        </patternFill>
      </fill>
    </dxf>
    <dxf>
      <fill>
        <patternFill>
          <bgColor rgb="FFFFE08A"/>
        </patternFill>
      </fill>
    </dxf>
    <dxf>
      <fill>
        <patternFill>
          <bgColor rgb="FFF4B6B6"/>
        </patternFill>
      </fill>
    </dxf>
    <dxf>
      <fill>
        <patternFill patternType="solid">
          <fgColor indexed="64"/>
          <bgColor rgb="FFC4B5DC"/>
        </patternFill>
      </fill>
    </dxf>
    <dxf>
      <fill>
        <patternFill patternType="solid">
          <fgColor indexed="64"/>
          <bgColor rgb="FF9FD8CE"/>
        </patternFill>
      </fill>
    </dxf>
    <dxf>
      <fill>
        <patternFill>
          <bgColor rgb="FFA9CDEB"/>
        </patternFill>
      </fill>
    </dxf>
    <dxf>
      <fill>
        <patternFill>
          <bgColor rgb="FFF9C08A"/>
        </patternFill>
      </fill>
    </dxf>
    <dxf>
      <fill>
        <patternFill>
          <bgColor rgb="FFD0CECE"/>
        </patternFill>
      </fill>
    </dxf>
    <dxf>
      <fill>
        <patternFill>
          <bgColor rgb="FFB7DE9C"/>
        </patternFill>
      </fill>
    </dxf>
    <dxf>
      <fill>
        <patternFill>
          <bgColor rgb="FFFFE08A"/>
        </patternFill>
      </fill>
    </dxf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5DC"/>
      <rgbColor rgb="FF808080"/>
      <rgbColor rgb="FF9999FF"/>
      <rgbColor rgb="FF993366"/>
      <rgbColor rgb="FFB7DE9C"/>
      <rgbColor rgb="FFDCE6F1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FD8CE"/>
      <rgbColor rgb="FFE4E4E4"/>
      <rgbColor rgb="FFFFE08A"/>
      <rgbColor rgb="FFA9CDEB"/>
      <rgbColor rgb="FFF4B6B6"/>
      <rgbColor rgb="FFCC99FF"/>
      <rgbColor rgb="FFF9C08A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DD4B11-3703-47E7-AD35-3CF1A230B1AB}">
  <we:reference id="wa200010725" version="1.0.0.1" store="el-GR" storeType="OMEX"/>
  <we:alternateReferences>
    <we:reference id="WA200010725" version="1.0.0.1" store="" storeType="OMEX"/>
  </we:alternateReferences>
  <we:properties>
    <we:property name="claude.fileId" value="&quot;46911765-4808-431b-80a6-48c9e922dc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showGridLines="0" topLeftCell="A8" zoomScaleNormal="100" workbookViewId="0">
      <selection activeCell="B26" sqref="B26"/>
    </sheetView>
  </sheetViews>
  <sheetFormatPr defaultColWidth="8.6640625" defaultRowHeight="14.4" x14ac:dyDescent="0.3"/>
  <cols>
    <col min="1" max="1" width="43.5546875" customWidth="1"/>
    <col min="2" max="2" width="78" customWidth="1"/>
  </cols>
  <sheetData>
    <row r="1" spans="1:2" ht="30" customHeight="1" x14ac:dyDescent="0.3">
      <c r="A1" s="91" t="s">
        <v>0</v>
      </c>
      <c r="B1" s="91"/>
    </row>
    <row r="3" spans="1:2" ht="15.6" x14ac:dyDescent="0.3">
      <c r="A3" s="2" t="s">
        <v>1</v>
      </c>
      <c r="B3" s="3">
        <v>2026</v>
      </c>
    </row>
    <row r="4" spans="1:2" x14ac:dyDescent="0.3">
      <c r="A4" s="92" t="s">
        <v>2</v>
      </c>
      <c r="B4" s="92"/>
    </row>
    <row r="6" spans="1:2" x14ac:dyDescent="0.3">
      <c r="A6" s="4" t="s">
        <v>3</v>
      </c>
      <c r="B6" s="5"/>
    </row>
    <row r="7" spans="1:2" x14ac:dyDescent="0.3">
      <c r="A7" s="6" t="s">
        <v>4</v>
      </c>
      <c r="B7" s="6" t="s">
        <v>5</v>
      </c>
    </row>
    <row r="8" spans="1:2" x14ac:dyDescent="0.3">
      <c r="A8" s="6" t="s">
        <v>6</v>
      </c>
      <c r="B8" s="6" t="s">
        <v>88</v>
      </c>
    </row>
    <row r="9" spans="1:2" ht="27.6" x14ac:dyDescent="0.3">
      <c r="A9" s="6" t="s">
        <v>7</v>
      </c>
      <c r="B9" s="6" t="s">
        <v>8</v>
      </c>
    </row>
    <row r="10" spans="1:2" ht="27.6" x14ac:dyDescent="0.3">
      <c r="A10" s="55" t="s">
        <v>91</v>
      </c>
      <c r="B10" s="56" t="s">
        <v>125</v>
      </c>
    </row>
    <row r="11" spans="1:2" x14ac:dyDescent="0.3">
      <c r="A11" s="46"/>
      <c r="B11" s="46"/>
    </row>
    <row r="12" spans="1:2" x14ac:dyDescent="0.3">
      <c r="A12" s="47" t="s">
        <v>92</v>
      </c>
      <c r="B12" s="48"/>
    </row>
    <row r="13" spans="1:2" ht="27.6" x14ac:dyDescent="0.3">
      <c r="A13" s="49" t="s">
        <v>93</v>
      </c>
      <c r="B13" s="50" t="s">
        <v>94</v>
      </c>
    </row>
    <row r="14" spans="1:2" ht="27.6" x14ac:dyDescent="0.3">
      <c r="A14" s="49" t="s">
        <v>95</v>
      </c>
      <c r="B14" s="50" t="s">
        <v>96</v>
      </c>
    </row>
    <row r="15" spans="1:2" ht="27.6" x14ac:dyDescent="0.3">
      <c r="A15" s="49" t="s">
        <v>97</v>
      </c>
      <c r="B15" s="50" t="s">
        <v>98</v>
      </c>
    </row>
    <row r="16" spans="1:2" ht="41.4" x14ac:dyDescent="0.3">
      <c r="A16" s="49" t="s">
        <v>99</v>
      </c>
      <c r="B16" s="50" t="s">
        <v>100</v>
      </c>
    </row>
    <row r="17" spans="1:2" ht="41.4" x14ac:dyDescent="0.3">
      <c r="A17" s="49" t="s">
        <v>101</v>
      </c>
      <c r="B17" s="50" t="s">
        <v>102</v>
      </c>
    </row>
    <row r="18" spans="1:2" x14ac:dyDescent="0.3">
      <c r="A18" s="49"/>
      <c r="B18" s="50"/>
    </row>
    <row r="19" spans="1:2" x14ac:dyDescent="0.3">
      <c r="A19" s="47" t="s">
        <v>103</v>
      </c>
      <c r="B19" s="48"/>
    </row>
    <row r="20" spans="1:2" ht="27.6" x14ac:dyDescent="0.3">
      <c r="A20" s="49" t="s">
        <v>104</v>
      </c>
      <c r="B20" s="50" t="s">
        <v>105</v>
      </c>
    </row>
    <row r="21" spans="1:2" ht="27.6" x14ac:dyDescent="0.3">
      <c r="A21" s="49" t="s">
        <v>106</v>
      </c>
      <c r="B21" s="50" t="s">
        <v>107</v>
      </c>
    </row>
    <row r="22" spans="1:2" ht="27.6" x14ac:dyDescent="0.3">
      <c r="A22" s="49" t="s">
        <v>108</v>
      </c>
      <c r="B22" s="50" t="s">
        <v>109</v>
      </c>
    </row>
    <row r="23" spans="1:2" ht="41.4" x14ac:dyDescent="0.3">
      <c r="A23" s="49" t="s">
        <v>110</v>
      </c>
      <c r="B23" s="50" t="s">
        <v>111</v>
      </c>
    </row>
    <row r="24" spans="1:2" ht="27.6" x14ac:dyDescent="0.3">
      <c r="A24" s="49" t="s">
        <v>112</v>
      </c>
      <c r="B24" s="50" t="s">
        <v>113</v>
      </c>
    </row>
    <row r="25" spans="1:2" ht="27.6" x14ac:dyDescent="0.3">
      <c r="A25" s="49" t="s">
        <v>114</v>
      </c>
      <c r="B25" s="50" t="s">
        <v>115</v>
      </c>
    </row>
    <row r="26" spans="1:2" ht="27.6" x14ac:dyDescent="0.3">
      <c r="A26" s="49" t="s">
        <v>116</v>
      </c>
      <c r="B26" s="50" t="s">
        <v>117</v>
      </c>
    </row>
    <row r="27" spans="1:2" ht="27.6" x14ac:dyDescent="0.3">
      <c r="A27" s="51" t="s">
        <v>118</v>
      </c>
      <c r="B27" s="52" t="s">
        <v>119</v>
      </c>
    </row>
    <row r="28" spans="1:2" x14ac:dyDescent="0.3">
      <c r="A28" s="49"/>
      <c r="B28" s="50"/>
    </row>
    <row r="29" spans="1:2" x14ac:dyDescent="0.3">
      <c r="A29" s="47" t="s">
        <v>120</v>
      </c>
      <c r="B29" s="48"/>
    </row>
    <row r="30" spans="1:2" ht="41.4" x14ac:dyDescent="0.3">
      <c r="A30" s="49" t="s">
        <v>121</v>
      </c>
      <c r="B30" s="50" t="s">
        <v>122</v>
      </c>
    </row>
    <row r="31" spans="1:2" ht="28.8" x14ac:dyDescent="0.3">
      <c r="A31" s="53" t="s">
        <v>123</v>
      </c>
      <c r="B31" s="54" t="s">
        <v>124</v>
      </c>
    </row>
    <row r="32" spans="1:2" x14ac:dyDescent="0.3">
      <c r="A32" s="46"/>
      <c r="B32" s="46"/>
    </row>
    <row r="33" spans="1:2" x14ac:dyDescent="0.3">
      <c r="A33" s="4" t="s">
        <v>9</v>
      </c>
      <c r="B33" s="5"/>
    </row>
    <row r="34" spans="1:2" x14ac:dyDescent="0.3">
      <c r="A34" s="6" t="s">
        <v>10</v>
      </c>
      <c r="B34" s="6" t="s">
        <v>11</v>
      </c>
    </row>
    <row r="35" spans="1:2" x14ac:dyDescent="0.3">
      <c r="A35" s="6" t="s">
        <v>12</v>
      </c>
      <c r="B35" s="6" t="s">
        <v>13</v>
      </c>
    </row>
    <row r="36" spans="1:2" x14ac:dyDescent="0.3">
      <c r="A36" s="6" t="s">
        <v>14</v>
      </c>
      <c r="B36" s="6" t="s">
        <v>15</v>
      </c>
    </row>
    <row r="37" spans="1:2" x14ac:dyDescent="0.3">
      <c r="A37" s="6" t="s">
        <v>16</v>
      </c>
      <c r="B37" s="6" t="s">
        <v>17</v>
      </c>
    </row>
    <row r="38" spans="1:2" ht="41.4" x14ac:dyDescent="0.3">
      <c r="A38" s="6" t="s">
        <v>18</v>
      </c>
      <c r="B38" s="6" t="s">
        <v>137</v>
      </c>
    </row>
    <row r="39" spans="1:2" x14ac:dyDescent="0.3">
      <c r="A39" s="6"/>
      <c r="B39" s="6"/>
    </row>
    <row r="40" spans="1:2" ht="27.6" x14ac:dyDescent="0.3">
      <c r="A40" s="6" t="s">
        <v>19</v>
      </c>
      <c r="B40" s="6" t="s">
        <v>20</v>
      </c>
    </row>
    <row r="41" spans="1:2" x14ac:dyDescent="0.3">
      <c r="A41" s="6"/>
      <c r="B41" s="6"/>
    </row>
    <row r="42" spans="1:2" x14ac:dyDescent="0.3">
      <c r="A42" s="6" t="s">
        <v>21</v>
      </c>
      <c r="B42" s="6" t="s">
        <v>22</v>
      </c>
    </row>
    <row r="43" spans="1:2" x14ac:dyDescent="0.3">
      <c r="A43" s="6"/>
      <c r="B43" s="6" t="s">
        <v>23</v>
      </c>
    </row>
    <row r="45" spans="1:2" x14ac:dyDescent="0.3">
      <c r="A45" s="2" t="s">
        <v>24</v>
      </c>
    </row>
    <row r="46" spans="1:2" x14ac:dyDescent="0.3">
      <c r="A46" s="7"/>
      <c r="B46" s="8" t="s">
        <v>25</v>
      </c>
    </row>
    <row r="47" spans="1:2" x14ac:dyDescent="0.3">
      <c r="A47" s="9"/>
      <c r="B47" s="8" t="s">
        <v>26</v>
      </c>
    </row>
    <row r="48" spans="1:2" x14ac:dyDescent="0.3">
      <c r="A48" s="10"/>
      <c r="B48" s="8" t="s">
        <v>27</v>
      </c>
    </row>
    <row r="49" spans="1:2" x14ac:dyDescent="0.3">
      <c r="A49" s="11"/>
      <c r="B49" s="8" t="s">
        <v>28</v>
      </c>
    </row>
    <row r="50" spans="1:2" x14ac:dyDescent="0.3">
      <c r="A50" s="12"/>
      <c r="B50" s="8" t="s">
        <v>29</v>
      </c>
    </row>
    <row r="51" spans="1:2" x14ac:dyDescent="0.3">
      <c r="A51" s="13"/>
      <c r="B51" s="8" t="s">
        <v>30</v>
      </c>
    </row>
    <row r="52" spans="1:2" x14ac:dyDescent="0.3">
      <c r="A52" s="14"/>
      <c r="B52" s="8" t="s">
        <v>31</v>
      </c>
    </row>
    <row r="53" spans="1:2" x14ac:dyDescent="0.3">
      <c r="A53" s="15"/>
      <c r="B53" s="8" t="s">
        <v>32</v>
      </c>
    </row>
  </sheetData>
  <mergeCells count="2">
    <mergeCell ref="A1:B1"/>
    <mergeCell ref="A4:B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2" customWidth="1"/>
  </cols>
  <sheetData>
    <row r="1" spans="1:2" x14ac:dyDescent="0.3">
      <c r="A1" s="16" t="s">
        <v>33</v>
      </c>
      <c r="B1" s="16" t="s">
        <v>34</v>
      </c>
    </row>
    <row r="2" spans="1:2" x14ac:dyDescent="0.3">
      <c r="A2" s="17" t="s">
        <v>25</v>
      </c>
      <c r="B2" s="7"/>
    </row>
    <row r="3" spans="1:2" x14ac:dyDescent="0.3">
      <c r="A3" s="17" t="s">
        <v>26</v>
      </c>
      <c r="B3" s="9"/>
    </row>
    <row r="4" spans="1:2" x14ac:dyDescent="0.3">
      <c r="A4" s="17" t="s">
        <v>27</v>
      </c>
      <c r="B4" s="10"/>
    </row>
    <row r="5" spans="1:2" x14ac:dyDescent="0.3">
      <c r="A5" s="17" t="s">
        <v>28</v>
      </c>
      <c r="B5" s="11"/>
    </row>
    <row r="6" spans="1:2" x14ac:dyDescent="0.3">
      <c r="A6" s="17" t="s">
        <v>29</v>
      </c>
      <c r="B6" s="12"/>
    </row>
    <row r="7" spans="1:2" x14ac:dyDescent="0.3">
      <c r="A7" s="17" t="s">
        <v>30</v>
      </c>
      <c r="B7" s="13"/>
    </row>
    <row r="8" spans="1:2" x14ac:dyDescent="0.3">
      <c r="A8" s="17" t="s">
        <v>31</v>
      </c>
      <c r="B8" s="100"/>
    </row>
    <row r="9" spans="1:2" x14ac:dyDescent="0.3">
      <c r="A9" s="17" t="s">
        <v>32</v>
      </c>
      <c r="B9" s="101"/>
    </row>
    <row r="11" spans="1:2" x14ac:dyDescent="0.3">
      <c r="A11" s="1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99"/>
  <sheetViews>
    <sheetView zoomScaleNormal="100" workbookViewId="0">
      <pane ySplit="1" topLeftCell="A2" activePane="bottomLeft" state="frozen"/>
      <selection pane="bottomLeft" activeCell="D7" sqref="D7"/>
    </sheetView>
  </sheetViews>
  <sheetFormatPr defaultColWidth="8.6640625" defaultRowHeight="14.4" outlineLevelCol="1" x14ac:dyDescent="0.3"/>
  <cols>
    <col min="1" max="1" width="17.5546875" customWidth="1"/>
    <col min="2" max="2" width="16.6640625" customWidth="1"/>
    <col min="3" max="3" width="52" customWidth="1"/>
    <col min="4" max="4" width="30" customWidth="1"/>
    <col min="5" max="6" width="20" customWidth="1"/>
    <col min="7" max="7" width="34" customWidth="1"/>
    <col min="8" max="8" width="8" hidden="1" customWidth="1" outlineLevel="1"/>
    <col min="9" max="10" width="17.5546875" hidden="1" customWidth="1" outlineLevel="1"/>
    <col min="11" max="11" width="8.6640625" collapsed="1"/>
  </cols>
  <sheetData>
    <row r="1" spans="1:10" ht="27.75" customHeight="1" x14ac:dyDescent="0.3">
      <c r="A1" s="18" t="s">
        <v>36</v>
      </c>
      <c r="B1" s="18" t="s">
        <v>37</v>
      </c>
      <c r="C1" s="18" t="s">
        <v>38</v>
      </c>
      <c r="D1" s="18" t="s">
        <v>33</v>
      </c>
      <c r="E1" s="18" t="s">
        <v>39</v>
      </c>
      <c r="F1" s="18" t="s">
        <v>40</v>
      </c>
      <c r="G1" s="18" t="s">
        <v>41</v>
      </c>
      <c r="H1" s="45" t="s">
        <v>42</v>
      </c>
      <c r="I1" s="45" t="s">
        <v>43</v>
      </c>
      <c r="J1" s="45" t="s">
        <v>44</v>
      </c>
    </row>
    <row r="2" spans="1:10" ht="27.6" x14ac:dyDescent="0.3">
      <c r="A2" s="19">
        <v>46276</v>
      </c>
      <c r="B2" s="20"/>
      <c r="C2" s="21" t="s">
        <v>45</v>
      </c>
      <c r="D2" s="21" t="s">
        <v>26</v>
      </c>
      <c r="E2" s="21"/>
      <c r="F2" s="21"/>
      <c r="G2" s="21"/>
      <c r="H2" s="22" t="str">
        <f t="shared" ref="H2:H65" si="0">IF($A2="","",CHOOSE(WEEKDAY($A2,2),"Δευ","Τρί","Τετ","Πέμ","Παρ","Σάβ","Κυρ"))</f>
        <v>Παρ</v>
      </c>
      <c r="I2" s="23" t="str">
        <f>IF($A2="","",$A2&amp;"#"&amp;COUNTIF($A$2:$A2,$A2))</f>
        <v>46276#1</v>
      </c>
      <c r="J2" s="23" t="str">
        <f t="shared" ref="J2:J65" si="1">IF($A2="","",IF($B2="","",$B2&amp;"  ")&amp;$C2&amp;IF($E2="","","  ("&amp;$E2&amp;")"))</f>
        <v>Αγιασμός – Έναρξη σχολικού έτους. Διαμοιρασμός σε τμήματα.</v>
      </c>
    </row>
    <row r="3" spans="1:10" x14ac:dyDescent="0.3">
      <c r="A3" s="19">
        <v>46279</v>
      </c>
      <c r="B3" s="20"/>
      <c r="C3" s="21" t="s">
        <v>46</v>
      </c>
      <c r="D3" s="21" t="s">
        <v>30</v>
      </c>
      <c r="E3" s="21"/>
      <c r="F3" s="21"/>
      <c r="G3" s="21"/>
      <c r="H3" s="22" t="str">
        <f t="shared" si="0"/>
        <v>Δευ</v>
      </c>
      <c r="I3" s="23" t="str">
        <f>IF($A3="","",$A3&amp;"#"&amp;COUNTIF($A$2:$A3,$A3))</f>
        <v>46279#1</v>
      </c>
      <c r="J3" s="23" t="str">
        <f t="shared" si="1"/>
        <v>Έναρξη μαθημάτων</v>
      </c>
    </row>
    <row r="4" spans="1:10" ht="27.6" x14ac:dyDescent="0.3">
      <c r="A4" s="19">
        <v>46321</v>
      </c>
      <c r="B4" s="20"/>
      <c r="C4" s="21" t="s">
        <v>47</v>
      </c>
      <c r="D4" s="21" t="s">
        <v>25</v>
      </c>
      <c r="E4" s="21"/>
      <c r="F4" s="21"/>
      <c r="G4" s="21"/>
      <c r="H4" s="22" t="str">
        <f t="shared" si="0"/>
        <v>Δευ</v>
      </c>
      <c r="I4" s="23" t="str">
        <f>IF($A4="","",$A4&amp;"#"&amp;COUNTIF($A$2:$A4,$A4))</f>
        <v>46321#1</v>
      </c>
      <c r="J4" s="23" t="str">
        <f t="shared" si="1"/>
        <v>Αγίου Δημητρίου – Ελευθέρια Θεσσαλονίκης (τοπική αργία)</v>
      </c>
    </row>
    <row r="5" spans="1:10" ht="27.6" x14ac:dyDescent="0.3">
      <c r="A5" s="19">
        <v>46322</v>
      </c>
      <c r="B5" s="20"/>
      <c r="C5" s="21" t="s">
        <v>48</v>
      </c>
      <c r="D5" s="21" t="s">
        <v>26</v>
      </c>
      <c r="E5" s="21"/>
      <c r="F5" s="21"/>
      <c r="G5" s="21"/>
      <c r="H5" s="22" t="str">
        <f t="shared" si="0"/>
        <v>Τρί</v>
      </c>
      <c r="I5" s="23" t="str">
        <f>IF($A5="","",$A5&amp;"#"&amp;COUNTIF($A$2:$A5,$A5))</f>
        <v>46322#1</v>
      </c>
      <c r="J5" s="23" t="str">
        <f t="shared" si="1"/>
        <v>Εορταστικές εκδηλώσεις για την 28η Οκτωβρίου (χωρίς μάθημα)</v>
      </c>
    </row>
    <row r="6" spans="1:10" x14ac:dyDescent="0.3">
      <c r="A6" s="19">
        <v>46323</v>
      </c>
      <c r="B6" s="20"/>
      <c r="C6" s="21" t="s">
        <v>49</v>
      </c>
      <c r="D6" s="21" t="s">
        <v>25</v>
      </c>
      <c r="E6" s="21"/>
      <c r="F6" s="21"/>
      <c r="G6" s="21"/>
      <c r="H6" s="22" t="str">
        <f t="shared" si="0"/>
        <v>Τετ</v>
      </c>
      <c r="I6" s="23" t="str">
        <f>IF($A6="","",$A6&amp;"#"&amp;COUNTIF($A$2:$A6,$A6))</f>
        <v>46323#1</v>
      </c>
      <c r="J6" s="23" t="str">
        <f t="shared" si="1"/>
        <v>Εθνική επέτειος 28ης Οκτωβρίου – Αργία</v>
      </c>
    </row>
    <row r="7" spans="1:10" x14ac:dyDescent="0.3">
      <c r="A7" s="19">
        <v>46330</v>
      </c>
      <c r="B7" s="20" t="s">
        <v>50</v>
      </c>
      <c r="C7" s="21" t="s">
        <v>51</v>
      </c>
      <c r="D7" s="21" t="s">
        <v>32</v>
      </c>
      <c r="E7" s="21" t="inlineStr">
        <is>
          <t>Α΄ τάξη</t>
        </is>
      </c>
      <c r="F7" s="21"/>
      <c r="G7" s="21"/>
      <c r="H7" s="22" t="str">
        <f t="shared" si="0"/>
        <v>Τετ</v>
      </c>
      <c r="I7" s="23" t="str">
        <f>IF($A7="","",$A7&amp;"#"&amp;COUNTIF($A$2:$A7,$A7))</f>
        <v>46330#1</v>
      </c>
      <c r="J7" s="23" t="str">
        <f t="shared" si="1"/>
        <v>08:45-11:15  Διαδικτυακή εκπαίδευση «Kids Save Lives»</v>
      </c>
    </row>
    <row r="8" spans="1:10" x14ac:dyDescent="0.3">
      <c r="A8" s="19">
        <v>46343</v>
      </c>
      <c r="B8" s="20"/>
      <c r="C8" s="21" t="s">
        <v>52</v>
      </c>
      <c r="D8" s="21" t="s">
        <v>26</v>
      </c>
      <c r="E8" s="21"/>
      <c r="F8" s="21"/>
      <c r="G8" s="21"/>
      <c r="H8" s="22" t="str">
        <f t="shared" si="0"/>
        <v>Τρί</v>
      </c>
      <c r="I8" s="23" t="str">
        <f>IF($A8="","",$A8&amp;"#"&amp;COUNTIF($A$2:$A8,$A8))</f>
        <v>46343#1</v>
      </c>
      <c r="J8" s="23" t="str">
        <f t="shared" si="1"/>
        <v>Εκδηλώσεις για την επέτειο του Πολυτεχνείου</v>
      </c>
    </row>
    <row r="9" spans="1:10" x14ac:dyDescent="0.3">
      <c r="A9" s="19">
        <v>46356</v>
      </c>
      <c r="B9" s="20" t="inlineStr">
        <is>
          <t>09:00-12:30</t>
        </is>
      </c>
      <c r="C9" s="21" t="s">
        <v>139</v>
      </c>
      <c r="D9" s="21" t="s">
        <v>27</v>
      </c>
      <c r="E9" s="21" t="inlineStr">
        <is>
          <t>Γ΄ τάξη</t>
        </is>
      </c>
      <c r="F9" s="21"/>
      <c r="G9" s="21"/>
      <c r="H9" s="22" t="str">
        <f t="shared" si="0"/>
        <v>Δευ</v>
      </c>
      <c r="I9" s="23" t="str">
        <f>IF($A9="","",$A9&amp;"#"&amp;COUNTIF($A$2:$A9,$A9))</f>
        <v>46356#1</v>
      </c>
      <c r="J9" s="23" t="str">
        <f t="shared" si="1"/>
        <v>09:00-12.30  Μουσείο Μακεδονικού Αγώνα και διαδραστική έκθεση Van Gogh – The Immersive Experience (ΔΕΘ Helexpo)</v>
      </c>
    </row>
    <row r="10" spans="1:10" x14ac:dyDescent="0.3">
      <c r="A10" s="19">
        <v>46379</v>
      </c>
      <c r="B10" s="20"/>
      <c r="C10" s="21" t="s">
        <v>53</v>
      </c>
      <c r="D10" s="21" t="s">
        <v>30</v>
      </c>
      <c r="E10" s="21"/>
      <c r="F10" s="21"/>
      <c r="G10" s="21"/>
      <c r="H10" s="22" t="str">
        <f t="shared" si="0"/>
        <v>Τετ</v>
      </c>
      <c r="I10" s="23" t="str">
        <f>IF($A10="","",$A10&amp;"#"&amp;COUNTIF($A$2:$A10,$A10))</f>
        <v>46379#1</v>
      </c>
      <c r="J10" s="23" t="str">
        <f t="shared" si="1"/>
        <v>Τελευταία ημέρα μαθημάτων πριν τις διακοπές</v>
      </c>
    </row>
    <row r="11" spans="1:10" x14ac:dyDescent="0.3">
      <c r="A11" s="19">
        <v>46380</v>
      </c>
      <c r="B11" s="20"/>
      <c r="C11" s="21" t="s">
        <v>54</v>
      </c>
      <c r="D11" s="21" t="s">
        <v>25</v>
      </c>
      <c r="E11" s="21"/>
      <c r="F11" s="21"/>
      <c r="G11" s="21"/>
      <c r="H11" s="22" t="str">
        <f t="shared" si="0"/>
        <v>Πέμ</v>
      </c>
      <c r="I11" s="23" t="str">
        <f>IF($A11="","",$A11&amp;"#"&amp;COUNTIF($A$2:$A11,$A11))</f>
        <v>46380#1</v>
      </c>
      <c r="J11" s="23" t="str">
        <f t="shared" si="1"/>
        <v>Διακοπές Χριστουγέννων</v>
      </c>
    </row>
    <row r="12" spans="1:10" x14ac:dyDescent="0.3">
      <c r="A12" s="19">
        <v>46381</v>
      </c>
      <c r="B12" s="20"/>
      <c r="C12" s="21" t="s">
        <v>54</v>
      </c>
      <c r="D12" s="21" t="s">
        <v>25</v>
      </c>
      <c r="E12" s="21"/>
      <c r="F12" s="21"/>
      <c r="G12" s="21"/>
      <c r="H12" s="22" t="str">
        <f t="shared" si="0"/>
        <v>Παρ</v>
      </c>
      <c r="I12" s="23" t="str">
        <f>IF($A12="","",$A12&amp;"#"&amp;COUNTIF($A$2:$A12,$A12))</f>
        <v>46381#1</v>
      </c>
      <c r="J12" s="23" t="str">
        <f t="shared" si="1"/>
        <v>Διακοπές Χριστουγέννων</v>
      </c>
    </row>
    <row r="13" spans="1:10" x14ac:dyDescent="0.3">
      <c r="A13" s="19">
        <v>46384</v>
      </c>
      <c r="B13" s="20"/>
      <c r="C13" s="21" t="s">
        <v>54</v>
      </c>
      <c r="D13" s="21" t="s">
        <v>25</v>
      </c>
      <c r="E13" s="21"/>
      <c r="F13" s="21"/>
      <c r="G13" s="21"/>
      <c r="H13" s="22" t="str">
        <f t="shared" si="0"/>
        <v>Δευ</v>
      </c>
      <c r="I13" s="23" t="str">
        <f>IF($A13="","",$A13&amp;"#"&amp;COUNTIF($A$2:$A13,$A13))</f>
        <v>46384#1</v>
      </c>
      <c r="J13" s="23" t="str">
        <f t="shared" si="1"/>
        <v>Διακοπές Χριστουγέννων</v>
      </c>
    </row>
    <row r="14" spans="1:10" x14ac:dyDescent="0.3">
      <c r="A14" s="19">
        <v>46385</v>
      </c>
      <c r="B14" s="20"/>
      <c r="C14" s="21" t="s">
        <v>54</v>
      </c>
      <c r="D14" s="21" t="s">
        <v>25</v>
      </c>
      <c r="E14" s="21"/>
      <c r="F14" s="21"/>
      <c r="G14" s="21"/>
      <c r="H14" s="22" t="str">
        <f t="shared" si="0"/>
        <v>Τρί</v>
      </c>
      <c r="I14" s="23" t="str">
        <f>IF($A14="","",$A14&amp;"#"&amp;COUNTIF($A$2:$A14,$A14))</f>
        <v>46385#1</v>
      </c>
      <c r="J14" s="23" t="str">
        <f t="shared" si="1"/>
        <v>Διακοπές Χριστουγέννων</v>
      </c>
    </row>
    <row r="15" spans="1:10" x14ac:dyDescent="0.3">
      <c r="A15" s="19">
        <v>46386</v>
      </c>
      <c r="B15" s="20"/>
      <c r="C15" s="21" t="s">
        <v>54</v>
      </c>
      <c r="D15" s="21" t="s">
        <v>25</v>
      </c>
      <c r="E15" s="21"/>
      <c r="F15" s="21"/>
      <c r="G15" s="21"/>
      <c r="H15" s="22" t="str">
        <f t="shared" si="0"/>
        <v>Τετ</v>
      </c>
      <c r="I15" s="23" t="str">
        <f>IF($A15="","",$A15&amp;"#"&amp;COUNTIF($A$2:$A15,$A15))</f>
        <v>46386#1</v>
      </c>
      <c r="J15" s="23" t="str">
        <f t="shared" si="1"/>
        <v>Διακοπές Χριστουγέννων</v>
      </c>
    </row>
    <row r="16" spans="1:10" x14ac:dyDescent="0.3">
      <c r="A16" s="19">
        <v>46387</v>
      </c>
      <c r="B16" s="20"/>
      <c r="C16" s="21" t="s">
        <v>54</v>
      </c>
      <c r="D16" s="21" t="s">
        <v>25</v>
      </c>
      <c r="E16" s="21"/>
      <c r="F16" s="21"/>
      <c r="G16" s="21"/>
      <c r="H16" s="22" t="str">
        <f t="shared" si="0"/>
        <v>Πέμ</v>
      </c>
      <c r="I16" s="23" t="str">
        <f>IF($A16="","",$A16&amp;"#"&amp;COUNTIF($A$2:$A16,$A16))</f>
        <v>46387#1</v>
      </c>
      <c r="J16" s="23" t="str">
        <f t="shared" si="1"/>
        <v>Διακοπές Χριστουγέννων</v>
      </c>
    </row>
    <row r="17" spans="1:10" x14ac:dyDescent="0.3">
      <c r="A17" s="19">
        <v>46388</v>
      </c>
      <c r="B17" s="20"/>
      <c r="C17" s="21" t="s">
        <v>54</v>
      </c>
      <c r="D17" s="21" t="s">
        <v>25</v>
      </c>
      <c r="E17" s="21"/>
      <c r="F17" s="21"/>
      <c r="G17" s="21"/>
      <c r="H17" s="22" t="str">
        <f t="shared" si="0"/>
        <v>Παρ</v>
      </c>
      <c r="I17" s="23" t="str">
        <f>IF($A17="","",$A17&amp;"#"&amp;COUNTIF($A$2:$A17,$A17))</f>
        <v>46388#1</v>
      </c>
      <c r="J17" s="23" t="str">
        <f t="shared" si="1"/>
        <v>Διακοπές Χριστουγέννων</v>
      </c>
    </row>
    <row r="18" spans="1:10" x14ac:dyDescent="0.3">
      <c r="A18" s="19">
        <v>46391</v>
      </c>
      <c r="B18" s="20"/>
      <c r="C18" s="21" t="s">
        <v>54</v>
      </c>
      <c r="D18" s="21" t="s">
        <v>25</v>
      </c>
      <c r="E18" s="21"/>
      <c r="F18" s="21"/>
      <c r="G18" s="21"/>
      <c r="H18" s="22" t="str">
        <f t="shared" si="0"/>
        <v>Δευ</v>
      </c>
      <c r="I18" s="23" t="str">
        <f>IF($A18="","",$A18&amp;"#"&amp;COUNTIF($A$2:$A18,$A18))</f>
        <v>46391#1</v>
      </c>
      <c r="J18" s="23" t="str">
        <f t="shared" si="1"/>
        <v>Διακοπές Χριστουγέννων</v>
      </c>
    </row>
    <row r="19" spans="1:10" x14ac:dyDescent="0.3">
      <c r="A19" s="19">
        <v>46392</v>
      </c>
      <c r="B19" s="20"/>
      <c r="C19" s="21" t="s">
        <v>54</v>
      </c>
      <c r="D19" s="21" t="s">
        <v>25</v>
      </c>
      <c r="E19" s="21"/>
      <c r="F19" s="21"/>
      <c r="G19" s="21"/>
      <c r="H19" s="22" t="str">
        <f t="shared" si="0"/>
        <v>Τρί</v>
      </c>
      <c r="I19" s="23" t="str">
        <f>IF($A19="","",$A19&amp;"#"&amp;COUNTIF($A$2:$A19,$A19))</f>
        <v>46392#1</v>
      </c>
      <c r="J19" s="23" t="str">
        <f t="shared" si="1"/>
        <v>Διακοπές Χριστουγέννων</v>
      </c>
    </row>
    <row r="20" spans="1:10" x14ac:dyDescent="0.3">
      <c r="A20" s="19">
        <v>46393</v>
      </c>
      <c r="B20" s="20"/>
      <c r="C20" s="21" t="s">
        <v>54</v>
      </c>
      <c r="D20" s="21" t="s">
        <v>25</v>
      </c>
      <c r="E20" s="21"/>
      <c r="F20" s="21"/>
      <c r="G20" s="21"/>
      <c r="H20" s="22" t="str">
        <f t="shared" si="0"/>
        <v>Τετ</v>
      </c>
      <c r="I20" s="23" t="str">
        <f>IF($A20="","",$A20&amp;"#"&amp;COUNTIF($A$2:$A20,$A20))</f>
        <v>46393#1</v>
      </c>
      <c r="J20" s="23" t="str">
        <f t="shared" si="1"/>
        <v>Διακοπές Χριστουγέννων</v>
      </c>
    </row>
    <row r="21" spans="1:10" x14ac:dyDescent="0.3">
      <c r="A21" s="19">
        <v>46394</v>
      </c>
      <c r="B21" s="20"/>
      <c r="C21" s="21" t="s">
        <v>54</v>
      </c>
      <c r="D21" s="21" t="s">
        <v>25</v>
      </c>
      <c r="E21" s="21"/>
      <c r="F21" s="21"/>
      <c r="G21" s="21"/>
      <c r="H21" s="22" t="str">
        <f t="shared" si="0"/>
        <v>Πέμ</v>
      </c>
      <c r="I21" s="23" t="str">
        <f>IF($A21="","",$A21&amp;"#"&amp;COUNTIF($A$2:$A21,$A21))</f>
        <v>46394#1</v>
      </c>
      <c r="J21" s="23" t="str">
        <f t="shared" si="1"/>
        <v>Διακοπές Χριστουγέννων</v>
      </c>
    </row>
    <row r="22" spans="1:10" x14ac:dyDescent="0.3">
      <c r="A22" s="19">
        <v>46395</v>
      </c>
      <c r="B22" s="20"/>
      <c r="C22" s="21" t="s">
        <v>55</v>
      </c>
      <c r="D22" s="21" t="s">
        <v>30</v>
      </c>
      <c r="E22" s="21"/>
      <c r="F22" s="21"/>
      <c r="G22" s="21"/>
      <c r="H22" s="22" t="str">
        <f t="shared" si="0"/>
        <v>Παρ</v>
      </c>
      <c r="I22" s="23" t="str">
        <f>IF($A22="","",$A22&amp;"#"&amp;COUNTIF($A$2:$A22,$A22))</f>
        <v>46395#1</v>
      </c>
      <c r="J22" s="23" t="str">
        <f t="shared" si="1"/>
        <v>Επαναλειτουργία σχολείου</v>
      </c>
    </row>
    <row r="23" spans="1:10" x14ac:dyDescent="0.3">
      <c r="A23" s="19">
        <v>46407</v>
      </c>
      <c r="B23" s="20"/>
      <c r="C23" s="21" t="s">
        <v>56</v>
      </c>
      <c r="D23" s="21" t="s">
        <v>30</v>
      </c>
      <c r="E23" s="21"/>
      <c r="F23" s="21"/>
      <c r="G23" s="21"/>
      <c r="H23" s="22" t="str">
        <f t="shared" si="0"/>
        <v>Τετ</v>
      </c>
      <c r="I23" s="23" t="str">
        <f>IF($A23="","",$A23&amp;"#"&amp;COUNTIF($A$2:$A23,$A23))</f>
        <v>46407#1</v>
      </c>
      <c r="J23" s="23" t="str">
        <f t="shared" si="1"/>
        <v>Λήξη Α΄ τετραμήνου (εκτίμηση – εκκρεμεί εγκύκλιος)</v>
      </c>
    </row>
    <row r="24" spans="1:10" x14ac:dyDescent="0.3">
      <c r="A24" s="19">
        <v>46417</v>
      </c>
      <c r="B24" s="20"/>
      <c r="C24" s="21" t="s">
        <v>57</v>
      </c>
      <c r="D24" s="21" t="s">
        <v>26</v>
      </c>
      <c r="E24" s="21"/>
      <c r="F24" s="21"/>
      <c r="G24" s="21"/>
      <c r="H24" s="22" t="str">
        <f t="shared" si="0"/>
        <v>Σάβ</v>
      </c>
      <c r="I24" s="23" t="str">
        <f>IF($A24="","",$A24&amp;"#"&amp;COUNTIF($A$2:$A24,$A24))</f>
        <v>46417#1</v>
      </c>
      <c r="J24" s="23" t="str">
        <f t="shared" si="1"/>
        <v>Εορτή Τριών Ιεραρχών (πέφτει Σάββατο)</v>
      </c>
    </row>
    <row r="25" spans="1:10" x14ac:dyDescent="0.3">
      <c r="A25" s="19">
        <v>46461</v>
      </c>
      <c r="B25" s="20"/>
      <c r="C25" s="21" t="s">
        <v>58</v>
      </c>
      <c r="D25" s="21" t="s">
        <v>25</v>
      </c>
      <c r="E25" s="21"/>
      <c r="F25" s="21"/>
      <c r="G25" s="21"/>
      <c r="H25" s="22" t="str">
        <f t="shared" si="0"/>
        <v>Δευ</v>
      </c>
      <c r="I25" s="23" t="str">
        <f>IF($A25="","",$A25&amp;"#"&amp;COUNTIF($A$2:$A25,$A25))</f>
        <v>46461#1</v>
      </c>
      <c r="J25" s="23" t="str">
        <f t="shared" si="1"/>
        <v>Καθαρά Δευτέρα – Αργία</v>
      </c>
    </row>
    <row r="26" spans="1:10" x14ac:dyDescent="0.3">
      <c r="A26" s="19">
        <v>46470</v>
      </c>
      <c r="B26" s="20"/>
      <c r="C26" s="21" t="s">
        <v>59</v>
      </c>
      <c r="D26" s="21" t="s">
        <v>26</v>
      </c>
      <c r="E26" s="21"/>
      <c r="F26" s="21"/>
      <c r="G26" s="21"/>
      <c r="H26" s="22" t="str">
        <f t="shared" si="0"/>
        <v>Τετ</v>
      </c>
      <c r="I26" s="23" t="str">
        <f>IF($A26="","",$A26&amp;"#"&amp;COUNTIF($A$2:$A26,$A26))</f>
        <v>46470#1</v>
      </c>
      <c r="J26" s="23" t="str">
        <f t="shared" si="1"/>
        <v>Σχολική εορτή για την 25η Μαρτίου</v>
      </c>
    </row>
    <row r="27" spans="1:10" x14ac:dyDescent="0.3">
      <c r="A27" s="19">
        <v>46471</v>
      </c>
      <c r="B27" s="20"/>
      <c r="C27" s="21" t="s">
        <v>60</v>
      </c>
      <c r="D27" s="21" t="s">
        <v>25</v>
      </c>
      <c r="E27" s="21"/>
      <c r="F27" s="21"/>
      <c r="G27" s="21"/>
      <c r="H27" s="22" t="str">
        <f t="shared" si="0"/>
        <v>Πέμ</v>
      </c>
      <c r="I27" s="23" t="str">
        <f>IF($A27="","",$A27&amp;"#"&amp;COUNTIF($A$2:$A27,$A27))</f>
        <v>46471#1</v>
      </c>
      <c r="J27" s="23" t="str">
        <f t="shared" si="1"/>
        <v>Εθνική επέτειος 25ης Μαρτίου – Αργία</v>
      </c>
    </row>
    <row r="28" spans="1:10" x14ac:dyDescent="0.3">
      <c r="A28" s="19">
        <v>46493</v>
      </c>
      <c r="B28" s="20" t="s">
        <v>140</v>
      </c>
      <c r="C28" s="21" t="s">
        <v>141</v>
      </c>
      <c r="D28" s="21" t="s">
        <v>32</v>
      </c>
      <c r="E28" s="21" t="s">
        <v>142</v>
      </c>
      <c r="F28" s="21"/>
      <c r="G28" s="21"/>
      <c r="H28" s="22" t="str">
        <f t="shared" si="0"/>
        <v>Παρ</v>
      </c>
      <c r="I28" s="23" t="str">
        <f>IF($A28="","",$A28&amp;"#"&amp;COUNTIF($A$2:$A28,$A28))</f>
        <v>46493#1</v>
      </c>
      <c r="J28" s="23" t="str">
        <f t="shared" si="1"/>
        <v>2η–3η ώρα / 4η–5η ώρα  Α΄ τάξη: Επιμορφωτική δράση από «Το Χαμόγελο του Παιδιού»  (Α1, Α2 / Α3)</v>
      </c>
    </row>
    <row r="29" spans="1:10" x14ac:dyDescent="0.3">
      <c r="A29" s="19">
        <v>46503</v>
      </c>
      <c r="B29" s="20"/>
      <c r="C29" s="21" t="s">
        <v>61</v>
      </c>
      <c r="D29" s="21" t="s">
        <v>25</v>
      </c>
      <c r="E29" s="21"/>
      <c r="F29" s="21"/>
      <c r="G29" s="21"/>
      <c r="H29" s="22" t="str">
        <f t="shared" si="0"/>
        <v>Δευ</v>
      </c>
      <c r="I29" s="23" t="str">
        <f>IF($A29="","",$A29&amp;"#"&amp;COUNTIF($A$2:$A29,$A29))</f>
        <v>46503#1</v>
      </c>
      <c r="J29" s="23" t="str">
        <f t="shared" si="1"/>
        <v>Διακοπές Πάσχα</v>
      </c>
    </row>
    <row r="30" spans="1:10" x14ac:dyDescent="0.3">
      <c r="A30" s="19">
        <v>46504</v>
      </c>
      <c r="B30" s="20"/>
      <c r="C30" s="21" t="s">
        <v>61</v>
      </c>
      <c r="D30" s="21" t="s">
        <v>25</v>
      </c>
      <c r="E30" s="21"/>
      <c r="F30" s="21"/>
      <c r="G30" s="21"/>
      <c r="H30" s="22" t="str">
        <f t="shared" si="0"/>
        <v>Τρί</v>
      </c>
      <c r="I30" s="23" t="str">
        <f>IF($A30="","",$A30&amp;"#"&amp;COUNTIF($A$2:$A30,$A30))</f>
        <v>46504#1</v>
      </c>
      <c r="J30" s="23" t="str">
        <f t="shared" si="1"/>
        <v>Διακοπές Πάσχα</v>
      </c>
    </row>
    <row r="31" spans="1:10" x14ac:dyDescent="0.3">
      <c r="A31" s="19">
        <v>46505</v>
      </c>
      <c r="B31" s="20"/>
      <c r="C31" s="21" t="s">
        <v>61</v>
      </c>
      <c r="D31" s="21" t="s">
        <v>25</v>
      </c>
      <c r="E31" s="21"/>
      <c r="F31" s="21"/>
      <c r="G31" s="21"/>
      <c r="H31" s="22" t="str">
        <f t="shared" si="0"/>
        <v>Τετ</v>
      </c>
      <c r="I31" s="23" t="str">
        <f>IF($A31="","",$A31&amp;"#"&amp;COUNTIF($A$2:$A31,$A31))</f>
        <v>46505#1</v>
      </c>
      <c r="J31" s="23" t="str">
        <f t="shared" si="1"/>
        <v>Διακοπές Πάσχα</v>
      </c>
    </row>
    <row r="32" spans="1:10" x14ac:dyDescent="0.3">
      <c r="A32" s="19">
        <v>46506</v>
      </c>
      <c r="B32" s="20"/>
      <c r="C32" s="21" t="s">
        <v>61</v>
      </c>
      <c r="D32" s="21" t="s">
        <v>25</v>
      </c>
      <c r="E32" s="21"/>
      <c r="F32" s="21"/>
      <c r="G32" s="21"/>
      <c r="H32" s="22" t="str">
        <f t="shared" si="0"/>
        <v>Πέμ</v>
      </c>
      <c r="I32" s="23" t="str">
        <f>IF($A32="","",$A32&amp;"#"&amp;COUNTIF($A$2:$A32,$A32))</f>
        <v>46506#1</v>
      </c>
      <c r="J32" s="23" t="str">
        <f t="shared" si="1"/>
        <v>Διακοπές Πάσχα</v>
      </c>
    </row>
    <row r="33" spans="1:10" x14ac:dyDescent="0.3">
      <c r="A33" s="19">
        <v>46507</v>
      </c>
      <c r="B33" s="20"/>
      <c r="C33" s="21" t="s">
        <v>61</v>
      </c>
      <c r="D33" s="21" t="s">
        <v>25</v>
      </c>
      <c r="E33" s="21"/>
      <c r="F33" s="21"/>
      <c r="G33" s="21"/>
      <c r="H33" s="22" t="str">
        <f t="shared" si="0"/>
        <v>Παρ</v>
      </c>
      <c r="I33" s="23" t="str">
        <f>IF($A33="","",$A33&amp;"#"&amp;COUNTIF($A$2:$A33,$A33))</f>
        <v>46507#1</v>
      </c>
      <c r="J33" s="23" t="str">
        <f t="shared" si="1"/>
        <v>Διακοπές Πάσχα</v>
      </c>
    </row>
    <row r="34" spans="1:10" x14ac:dyDescent="0.3">
      <c r="A34" s="19">
        <v>46510</v>
      </c>
      <c r="B34" s="20"/>
      <c r="C34" s="21" t="s">
        <v>61</v>
      </c>
      <c r="D34" s="21" t="s">
        <v>25</v>
      </c>
      <c r="E34" s="21"/>
      <c r="F34" s="21"/>
      <c r="G34" s="21"/>
      <c r="H34" s="22" t="str">
        <f t="shared" si="0"/>
        <v>Δευ</v>
      </c>
      <c r="I34" s="23" t="str">
        <f>IF($A34="","",$A34&amp;"#"&amp;COUNTIF($A$2:$A34,$A34))</f>
        <v>46510#1</v>
      </c>
      <c r="J34" s="23" t="str">
        <f t="shared" si="1"/>
        <v>Διακοπές Πάσχα</v>
      </c>
    </row>
    <row r="35" spans="1:10" x14ac:dyDescent="0.3">
      <c r="A35" s="19">
        <v>46511</v>
      </c>
      <c r="B35" s="20"/>
      <c r="C35" s="21" t="s">
        <v>61</v>
      </c>
      <c r="D35" s="21" t="s">
        <v>25</v>
      </c>
      <c r="E35" s="21"/>
      <c r="F35" s="21"/>
      <c r="G35" s="21"/>
      <c r="H35" s="22" t="str">
        <f t="shared" si="0"/>
        <v>Τρί</v>
      </c>
      <c r="I35" s="23" t="str">
        <f>IF($A35="","",$A35&amp;"#"&amp;COUNTIF($A$2:$A35,$A35))</f>
        <v>46511#1</v>
      </c>
      <c r="J35" s="23" t="str">
        <f t="shared" si="1"/>
        <v>Διακοπές Πάσχα</v>
      </c>
    </row>
    <row r="36" spans="1:10" x14ac:dyDescent="0.3">
      <c r="A36" s="19">
        <v>46512</v>
      </c>
      <c r="B36" s="20"/>
      <c r="C36" s="21" t="s">
        <v>61</v>
      </c>
      <c r="D36" s="21" t="s">
        <v>25</v>
      </c>
      <c r="E36" s="21"/>
      <c r="F36" s="21"/>
      <c r="G36" s="21"/>
      <c r="H36" s="22" t="str">
        <f t="shared" si="0"/>
        <v>Τετ</v>
      </c>
      <c r="I36" s="23" t="str">
        <f>IF($A36="","",$A36&amp;"#"&amp;COUNTIF($A$2:$A36,$A36))</f>
        <v>46512#1</v>
      </c>
      <c r="J36" s="23" t="str">
        <f t="shared" si="1"/>
        <v>Διακοπές Πάσχα</v>
      </c>
    </row>
    <row r="37" spans="1:10" x14ac:dyDescent="0.3">
      <c r="A37" s="19">
        <v>46513</v>
      </c>
      <c r="B37" s="20"/>
      <c r="C37" s="21" t="s">
        <v>61</v>
      </c>
      <c r="D37" s="21" t="s">
        <v>25</v>
      </c>
      <c r="E37" s="21"/>
      <c r="F37" s="21"/>
      <c r="G37" s="21"/>
      <c r="H37" s="22" t="str">
        <f t="shared" si="0"/>
        <v>Πέμ</v>
      </c>
      <c r="I37" s="23" t="str">
        <f>IF($A37="","",$A37&amp;"#"&amp;COUNTIF($A$2:$A37,$A37))</f>
        <v>46513#1</v>
      </c>
      <c r="J37" s="23" t="str">
        <f t="shared" si="1"/>
        <v>Διακοπές Πάσχα</v>
      </c>
    </row>
    <row r="38" spans="1:10" x14ac:dyDescent="0.3">
      <c r="A38" s="19">
        <v>46514</v>
      </c>
      <c r="B38" s="20"/>
      <c r="C38" s="21" t="s">
        <v>61</v>
      </c>
      <c r="D38" s="21" t="s">
        <v>25</v>
      </c>
      <c r="E38" s="21"/>
      <c r="F38" s="21"/>
      <c r="G38" s="21"/>
      <c r="H38" s="22" t="str">
        <f t="shared" si="0"/>
        <v>Παρ</v>
      </c>
      <c r="I38" s="23" t="str">
        <f>IF($A38="","",$A38&amp;"#"&amp;COUNTIF($A$2:$A38,$A38))</f>
        <v>46514#1</v>
      </c>
      <c r="J38" s="23" t="str">
        <f t="shared" si="1"/>
        <v>Διακοπές Πάσχα</v>
      </c>
    </row>
    <row r="39" spans="1:10" x14ac:dyDescent="0.3">
      <c r="A39" s="19">
        <v>46517</v>
      </c>
      <c r="B39" s="20"/>
      <c r="C39" s="21" t="s">
        <v>62</v>
      </c>
      <c r="D39" s="21" t="s">
        <v>30</v>
      </c>
      <c r="E39" s="21"/>
      <c r="F39" s="21"/>
      <c r="G39" s="21"/>
      <c r="H39" s="22" t="str">
        <f t="shared" si="0"/>
        <v>Δευ</v>
      </c>
      <c r="I39" s="23" t="str">
        <f>IF($A39="","",$A39&amp;"#"&amp;COUNTIF($A$2:$A39,$A39))</f>
        <v>46517#1</v>
      </c>
      <c r="J39" s="23" t="str">
        <f t="shared" si="1"/>
        <v>Επαναλειτουργία σχολείου μετά το Πάσχα (εκτίμηση)</v>
      </c>
    </row>
    <row r="40" spans="1:10" x14ac:dyDescent="0.3">
      <c r="A40" s="19">
        <v>46559</v>
      </c>
      <c r="B40" s="20"/>
      <c r="C40" s="21" t="s">
        <v>63</v>
      </c>
      <c r="D40" s="21" t="s">
        <v>25</v>
      </c>
      <c r="E40" s="21"/>
      <c r="F40" s="21"/>
      <c r="G40" s="21"/>
      <c r="H40" s="22" t="str">
        <f t="shared" si="0"/>
        <v>Δευ</v>
      </c>
      <c r="I40" s="23" t="str">
        <f>IF($A40="","",$A40&amp;"#"&amp;COUNTIF($A$2:$A40,$A40))</f>
        <v>46559#1</v>
      </c>
      <c r="J40" s="23" t="str">
        <f t="shared" si="1"/>
        <v>Αγίου Πνεύματος – Αργία</v>
      </c>
    </row>
    <row r="41" spans="1:10" x14ac:dyDescent="0.3">
      <c r="A41" s="19">
        <v>46568</v>
      </c>
      <c r="B41" s="20"/>
      <c r="C41" s="21" t="s">
        <v>64</v>
      </c>
      <c r="D41" s="21" t="s">
        <v>30</v>
      </c>
      <c r="E41" s="21"/>
      <c r="F41" s="21"/>
      <c r="G41" s="21"/>
      <c r="H41" s="22" t="str">
        <f t="shared" si="0"/>
        <v>Τετ</v>
      </c>
      <c r="I41" s="23" t="str">
        <f>IF($A41="","",$A41&amp;"#"&amp;COUNTIF($A$2:$A41,$A41))</f>
        <v>46568#1</v>
      </c>
      <c r="J41" s="23" t="str">
        <f t="shared" si="1"/>
        <v>Λήξη διδακτικού έτους</v>
      </c>
    </row>
    <row r="42" spans="1:10" x14ac:dyDescent="0.3">
      <c r="A42" s="19">
        <v>46349</v>
      </c>
      <c r="B42" s="20" t="s">
        <v>143</v>
      </c>
      <c r="C42" s="21" t="s">
        <v>144</v>
      </c>
      <c r="D42" s="21" t="s">
        <v>27</v>
      </c>
      <c r="E42" s="21" t="inlineStr">
        <is>
          <t>Γ2, Γ3</t>
        </is>
      </c>
      <c r="F42" s="21"/>
      <c r="G42" s="21"/>
      <c r="H42" s="22" t="str">
        <f t="shared" si="0"/>
        <v>Δευ</v>
      </c>
      <c r="I42" s="23" t="str">
        <f>IF($A42="","",$A42&amp;"#"&amp;COUNTIF($A$2:$A42,$A42))</f>
        <v>46349#1</v>
      </c>
      <c r="J42" s="23" t="str">
        <f t="shared" si="1"/>
        <v>08:00-14:10  Επίσκεψη στο Σπήλαιο Αλιστράτης και στο ΚΠΕ Ποροΐων</v>
      </c>
    </row>
    <row r="43" spans="1:10" x14ac:dyDescent="0.3">
      <c r="A43" s="19">
        <v>46311</v>
      </c>
      <c r="B43" s="20" t="inlineStr">
        <is>
          <t xml:space="preserve">09:50-10:55</t>
        </is>
      </c>
      <c r="C43" s="21" t="inlineStr">
        <is>
          <t xml:space="preserve">Παγκόσμια Ημέρα Επανεκκίνησης Καρδιάς – «Kids Save Lives»</t>
        </is>
      </c>
      <c r="D43" s="21" t="inlineStr">
        <is>
          <t xml:space="preserve">Δράση / Πρόγραμμα / Όμιλος</t>
        </is>
      </c>
      <c r="E43" s="21" t="inlineStr">
        <is>
          <t xml:space="preserve">Ομάδες μαθητών από διάφορα τμήματα</t>
        </is>
      </c>
      <c r="F43" s="21" t="inlineStr">
        <is>
          <t xml:space="preserve">Βασιλακοπούλου, Κανοπούλου</t>
        </is>
      </c>
      <c r="G43" s="21"/>
      <c r="H43" s="22" t="str">
        <f t="shared" si="0"/>
        <v/>
      </c>
      <c r="I43" s="23" t="str">
        <f>IF($A43="","",$A43&amp;"#"&amp;COUNTIF($A$2:$A43,$A43))</f>
        <v/>
      </c>
      <c r="J43" s="23" t="str">
        <f t="shared" si="1"/>
        <v/>
      </c>
    </row>
    <row r="44" spans="1:10" x14ac:dyDescent="0.3">
      <c r="A44" s="19"/>
      <c r="B44" s="20"/>
      <c r="C44" s="21"/>
      <c r="D44" s="21"/>
      <c r="E44" s="21"/>
      <c r="F44" s="21"/>
      <c r="G44" s="21"/>
      <c r="H44" s="22" t="str">
        <f t="shared" si="0"/>
        <v/>
      </c>
      <c r="I44" s="23" t="str">
        <f>IF($A44="","",$A44&amp;"#"&amp;COUNTIF($A$2:$A44,$A44))</f>
        <v/>
      </c>
      <c r="J44" s="23" t="str">
        <f t="shared" si="1"/>
        <v/>
      </c>
    </row>
    <row r="45" spans="1:10" x14ac:dyDescent="0.3">
      <c r="A45" s="19"/>
      <c r="B45" s="20"/>
      <c r="C45" s="21"/>
      <c r="D45" s="21"/>
      <c r="E45" s="21"/>
      <c r="F45" s="21"/>
      <c r="G45" s="21"/>
      <c r="H45" s="22" t="str">
        <f t="shared" si="0"/>
        <v/>
      </c>
      <c r="I45" s="23" t="str">
        <f>IF($A45="","",$A45&amp;"#"&amp;COUNTIF($A$2:$A45,$A45))</f>
        <v/>
      </c>
      <c r="J45" s="23" t="str">
        <f t="shared" si="1"/>
        <v/>
      </c>
    </row>
    <row r="46" spans="1:10" x14ac:dyDescent="0.3">
      <c r="A46" s="19"/>
      <c r="B46" s="20"/>
      <c r="C46" s="21"/>
      <c r="D46" s="21"/>
      <c r="E46" s="21"/>
      <c r="F46" s="21"/>
      <c r="G46" s="21"/>
      <c r="H46" s="22" t="str">
        <f t="shared" si="0"/>
        <v/>
      </c>
      <c r="I46" s="23" t="str">
        <f>IF($A46="","",$A46&amp;"#"&amp;COUNTIF($A$2:$A46,$A46))</f>
        <v/>
      </c>
      <c r="J46" s="23" t="str">
        <f t="shared" si="1"/>
        <v/>
      </c>
    </row>
    <row r="47" spans="1:10" x14ac:dyDescent="0.3">
      <c r="A47" s="19"/>
      <c r="B47" s="20"/>
      <c r="C47" s="21"/>
      <c r="D47" s="21"/>
      <c r="E47" s="21"/>
      <c r="F47" s="21"/>
      <c r="G47" s="21"/>
      <c r="H47" s="22" t="str">
        <f t="shared" si="0"/>
        <v/>
      </c>
      <c r="I47" s="23" t="str">
        <f>IF($A47="","",$A47&amp;"#"&amp;COUNTIF($A$2:$A47,$A47))</f>
        <v/>
      </c>
      <c r="J47" s="23" t="str">
        <f t="shared" si="1"/>
        <v/>
      </c>
    </row>
    <row r="48" spans="1:10" x14ac:dyDescent="0.3">
      <c r="A48" s="19"/>
      <c r="B48" s="20"/>
      <c r="C48" s="21"/>
      <c r="D48" s="21"/>
      <c r="E48" s="21"/>
      <c r="F48" s="21"/>
      <c r="G48" s="21"/>
      <c r="H48" s="22" t="str">
        <f t="shared" si="0"/>
        <v/>
      </c>
      <c r="I48" s="23" t="str">
        <f>IF($A48="","",$A48&amp;"#"&amp;COUNTIF($A$2:$A48,$A48))</f>
        <v/>
      </c>
      <c r="J48" s="23" t="str">
        <f t="shared" si="1"/>
        <v/>
      </c>
    </row>
    <row r="49" spans="1:10" x14ac:dyDescent="0.3">
      <c r="A49" s="19"/>
      <c r="B49" s="20"/>
      <c r="C49" s="21"/>
      <c r="D49" s="21"/>
      <c r="E49" s="21"/>
      <c r="F49" s="21"/>
      <c r="G49" s="21"/>
      <c r="H49" s="22" t="str">
        <f t="shared" si="0"/>
        <v/>
      </c>
      <c r="I49" s="23" t="str">
        <f>IF($A49="","",$A49&amp;"#"&amp;COUNTIF($A$2:$A49,$A49))</f>
        <v/>
      </c>
      <c r="J49" s="23" t="str">
        <f t="shared" si="1"/>
        <v/>
      </c>
    </row>
    <row r="50" spans="1:10" x14ac:dyDescent="0.3">
      <c r="A50" s="19"/>
      <c r="B50" s="20"/>
      <c r="C50" s="21"/>
      <c r="D50" s="21"/>
      <c r="E50" s="21"/>
      <c r="F50" s="21"/>
      <c r="G50" s="21"/>
      <c r="H50" s="22" t="str">
        <f t="shared" si="0"/>
        <v/>
      </c>
      <c r="I50" s="23" t="str">
        <f>IF($A50="","",$A50&amp;"#"&amp;COUNTIF($A$2:$A50,$A50))</f>
        <v/>
      </c>
      <c r="J50" s="23" t="str">
        <f t="shared" si="1"/>
        <v/>
      </c>
    </row>
    <row r="51" spans="1:10" x14ac:dyDescent="0.3">
      <c r="A51" s="19"/>
      <c r="B51" s="20"/>
      <c r="C51" s="21"/>
      <c r="D51" s="21"/>
      <c r="E51" s="21"/>
      <c r="F51" s="21"/>
      <c r="G51" s="21"/>
      <c r="H51" s="22" t="str">
        <f t="shared" si="0"/>
        <v/>
      </c>
      <c r="I51" s="23" t="str">
        <f>IF($A51="","",$A51&amp;"#"&amp;COUNTIF($A$2:$A51,$A51))</f>
        <v/>
      </c>
      <c r="J51" s="23" t="str">
        <f t="shared" si="1"/>
        <v/>
      </c>
    </row>
    <row r="52" spans="1:10" x14ac:dyDescent="0.3">
      <c r="A52" s="19"/>
      <c r="B52" s="20"/>
      <c r="C52" s="21"/>
      <c r="D52" s="21"/>
      <c r="E52" s="21"/>
      <c r="F52" s="21"/>
      <c r="G52" s="21"/>
      <c r="H52" s="22" t="str">
        <f t="shared" si="0"/>
        <v/>
      </c>
      <c r="I52" s="23" t="str">
        <f>IF($A52="","",$A52&amp;"#"&amp;COUNTIF($A$2:$A52,$A52))</f>
        <v/>
      </c>
      <c r="J52" s="23" t="str">
        <f t="shared" si="1"/>
        <v/>
      </c>
    </row>
    <row r="53" spans="1:10" x14ac:dyDescent="0.3">
      <c r="A53" s="19"/>
      <c r="B53" s="20"/>
      <c r="C53" s="21"/>
      <c r="D53" s="21"/>
      <c r="E53" s="21"/>
      <c r="F53" s="21"/>
      <c r="G53" s="21"/>
      <c r="H53" s="22" t="str">
        <f t="shared" si="0"/>
        <v/>
      </c>
      <c r="I53" s="23" t="str">
        <f>IF($A53="","",$A53&amp;"#"&amp;COUNTIF($A$2:$A53,$A53))</f>
        <v/>
      </c>
      <c r="J53" s="23" t="str">
        <f t="shared" si="1"/>
        <v/>
      </c>
    </row>
    <row r="54" spans="1:10" x14ac:dyDescent="0.3">
      <c r="A54" s="19"/>
      <c r="B54" s="20"/>
      <c r="C54" s="21"/>
      <c r="D54" s="21"/>
      <c r="E54" s="21"/>
      <c r="F54" s="21"/>
      <c r="G54" s="21"/>
      <c r="H54" s="22" t="str">
        <f t="shared" si="0"/>
        <v/>
      </c>
      <c r="I54" s="23" t="str">
        <f>IF($A54="","",$A54&amp;"#"&amp;COUNTIF($A$2:$A54,$A54))</f>
        <v/>
      </c>
      <c r="J54" s="23" t="str">
        <f t="shared" si="1"/>
        <v/>
      </c>
    </row>
    <row r="55" spans="1:10" x14ac:dyDescent="0.3">
      <c r="A55" s="19"/>
      <c r="B55" s="20"/>
      <c r="C55" s="21"/>
      <c r="D55" s="21"/>
      <c r="E55" s="21"/>
      <c r="F55" s="21"/>
      <c r="G55" s="21"/>
      <c r="H55" s="22" t="str">
        <f t="shared" si="0"/>
        <v/>
      </c>
      <c r="I55" s="23" t="str">
        <f>IF($A55="","",$A55&amp;"#"&amp;COUNTIF($A$2:$A55,$A55))</f>
        <v/>
      </c>
      <c r="J55" s="23" t="str">
        <f t="shared" si="1"/>
        <v/>
      </c>
    </row>
    <row r="56" spans="1:10" x14ac:dyDescent="0.3">
      <c r="A56" s="19"/>
      <c r="B56" s="20"/>
      <c r="C56" s="21"/>
      <c r="D56" s="21"/>
      <c r="E56" s="21"/>
      <c r="F56" s="21"/>
      <c r="G56" s="21"/>
      <c r="H56" s="22" t="str">
        <f t="shared" si="0"/>
        <v/>
      </c>
      <c r="I56" s="23" t="str">
        <f>IF($A56="","",$A56&amp;"#"&amp;COUNTIF($A$2:$A56,$A56))</f>
        <v/>
      </c>
      <c r="J56" s="23" t="str">
        <f t="shared" si="1"/>
        <v/>
      </c>
    </row>
    <row r="57" spans="1:10" x14ac:dyDescent="0.3">
      <c r="A57" s="19"/>
      <c r="B57" s="20"/>
      <c r="C57" s="21"/>
      <c r="D57" s="21"/>
      <c r="E57" s="21"/>
      <c r="F57" s="21"/>
      <c r="G57" s="21"/>
      <c r="H57" s="22" t="str">
        <f t="shared" si="0"/>
        <v/>
      </c>
      <c r="I57" s="23" t="str">
        <f>IF($A57="","",$A57&amp;"#"&amp;COUNTIF($A$2:$A57,$A57))</f>
        <v/>
      </c>
      <c r="J57" s="23" t="str">
        <f t="shared" si="1"/>
        <v/>
      </c>
    </row>
    <row r="58" spans="1:10" x14ac:dyDescent="0.3">
      <c r="A58" s="19"/>
      <c r="B58" s="20"/>
      <c r="C58" s="21"/>
      <c r="D58" s="21"/>
      <c r="E58" s="21"/>
      <c r="F58" s="21"/>
      <c r="G58" s="21"/>
      <c r="H58" s="22" t="str">
        <f t="shared" si="0"/>
        <v/>
      </c>
      <c r="I58" s="23" t="str">
        <f>IF($A58="","",$A58&amp;"#"&amp;COUNTIF($A$2:$A58,$A58))</f>
        <v/>
      </c>
      <c r="J58" s="23" t="str">
        <f t="shared" si="1"/>
        <v/>
      </c>
    </row>
    <row r="59" spans="1:10" x14ac:dyDescent="0.3">
      <c r="A59" s="19"/>
      <c r="B59" s="20"/>
      <c r="C59" s="21"/>
      <c r="D59" s="21"/>
      <c r="E59" s="21"/>
      <c r="F59" s="21"/>
      <c r="G59" s="21"/>
      <c r="H59" s="22" t="str">
        <f t="shared" si="0"/>
        <v/>
      </c>
      <c r="I59" s="23" t="str">
        <f>IF($A59="","",$A59&amp;"#"&amp;COUNTIF($A$2:$A59,$A59))</f>
        <v/>
      </c>
      <c r="J59" s="23" t="str">
        <f t="shared" si="1"/>
        <v/>
      </c>
    </row>
    <row r="60" spans="1:10" x14ac:dyDescent="0.3">
      <c r="A60" s="19"/>
      <c r="B60" s="20"/>
      <c r="C60" s="21"/>
      <c r="D60" s="21"/>
      <c r="E60" s="21"/>
      <c r="F60" s="21"/>
      <c r="G60" s="21"/>
      <c r="H60" s="22" t="str">
        <f t="shared" si="0"/>
        <v/>
      </c>
      <c r="I60" s="23" t="str">
        <f>IF($A60="","",$A60&amp;"#"&amp;COUNTIF($A$2:$A60,$A60))</f>
        <v/>
      </c>
      <c r="J60" s="23" t="str">
        <f t="shared" si="1"/>
        <v/>
      </c>
    </row>
    <row r="61" spans="1:10" x14ac:dyDescent="0.3">
      <c r="A61" s="19"/>
      <c r="B61" s="20"/>
      <c r="C61" s="21"/>
      <c r="D61" s="21"/>
      <c r="E61" s="21"/>
      <c r="F61" s="21"/>
      <c r="G61" s="21"/>
      <c r="H61" s="22" t="str">
        <f t="shared" si="0"/>
        <v/>
      </c>
      <c r="I61" s="23" t="str">
        <f>IF($A61="","",$A61&amp;"#"&amp;COUNTIF($A$2:$A61,$A61))</f>
        <v/>
      </c>
      <c r="J61" s="23" t="str">
        <f t="shared" si="1"/>
        <v/>
      </c>
    </row>
    <row r="62" spans="1:10" x14ac:dyDescent="0.3">
      <c r="A62" s="19"/>
      <c r="B62" s="20"/>
      <c r="C62" s="21"/>
      <c r="D62" s="21"/>
      <c r="E62" s="21"/>
      <c r="F62" s="21"/>
      <c r="G62" s="21"/>
      <c r="H62" s="22" t="str">
        <f t="shared" si="0"/>
        <v/>
      </c>
      <c r="I62" s="23" t="str">
        <f>IF($A62="","",$A62&amp;"#"&amp;COUNTIF($A$2:$A62,$A62))</f>
        <v/>
      </c>
      <c r="J62" s="23" t="str">
        <f t="shared" si="1"/>
        <v/>
      </c>
    </row>
    <row r="63" spans="1:10" x14ac:dyDescent="0.3">
      <c r="A63" s="19"/>
      <c r="B63" s="20"/>
      <c r="C63" s="21"/>
      <c r="D63" s="21"/>
      <c r="E63" s="21"/>
      <c r="F63" s="21"/>
      <c r="G63" s="21"/>
      <c r="H63" s="22" t="str">
        <f t="shared" si="0"/>
        <v/>
      </c>
      <c r="I63" s="23" t="str">
        <f>IF($A63="","",$A63&amp;"#"&amp;COUNTIF($A$2:$A63,$A63))</f>
        <v/>
      </c>
      <c r="J63" s="23" t="str">
        <f t="shared" si="1"/>
        <v/>
      </c>
    </row>
    <row r="64" spans="1:10" x14ac:dyDescent="0.3">
      <c r="A64" s="19"/>
      <c r="B64" s="20"/>
      <c r="C64" s="21"/>
      <c r="D64" s="21"/>
      <c r="E64" s="21"/>
      <c r="F64" s="21"/>
      <c r="G64" s="21"/>
      <c r="H64" s="22" t="str">
        <f t="shared" si="0"/>
        <v/>
      </c>
      <c r="I64" s="23" t="str">
        <f>IF($A64="","",$A64&amp;"#"&amp;COUNTIF($A$2:$A64,$A64))</f>
        <v/>
      </c>
      <c r="J64" s="23" t="str">
        <f t="shared" si="1"/>
        <v/>
      </c>
    </row>
    <row r="65" spans="1:10" x14ac:dyDescent="0.3">
      <c r="A65" s="19"/>
      <c r="B65" s="20"/>
      <c r="C65" s="21"/>
      <c r="D65" s="21"/>
      <c r="E65" s="21"/>
      <c r="F65" s="21"/>
      <c r="G65" s="21"/>
      <c r="H65" s="22" t="str">
        <f t="shared" si="0"/>
        <v/>
      </c>
      <c r="I65" s="23" t="str">
        <f>IF($A65="","",$A65&amp;"#"&amp;COUNTIF($A$2:$A65,$A65))</f>
        <v/>
      </c>
      <c r="J65" s="23" t="str">
        <f t="shared" si="1"/>
        <v/>
      </c>
    </row>
    <row r="66" spans="1:10" x14ac:dyDescent="0.3">
      <c r="A66" s="19"/>
      <c r="B66" s="20"/>
      <c r="C66" s="21"/>
      <c r="D66" s="21"/>
      <c r="E66" s="21"/>
      <c r="F66" s="21"/>
      <c r="G66" s="21"/>
      <c r="H66" s="22" t="str">
        <f t="shared" ref="H66:H129" si="2">IF($A66="","",CHOOSE(WEEKDAY($A66,2),"Δευ","Τρί","Τετ","Πέμ","Παρ","Σάβ","Κυρ"))</f>
        <v/>
      </c>
      <c r="I66" s="23" t="str">
        <f>IF($A66="","",$A66&amp;"#"&amp;COUNTIF($A$2:$A66,$A66))</f>
        <v/>
      </c>
      <c r="J66" s="23" t="str">
        <f t="shared" ref="J66:J129" si="3">IF($A66="","",IF($B66="","",$B66&amp;"  ")&amp;$C66&amp;IF($E66="","","  ("&amp;$E66&amp;")"))</f>
        <v/>
      </c>
    </row>
    <row r="67" spans="1:10" x14ac:dyDescent="0.3">
      <c r="A67" s="19"/>
      <c r="B67" s="20"/>
      <c r="C67" s="21"/>
      <c r="D67" s="21"/>
      <c r="E67" s="21"/>
      <c r="F67" s="21"/>
      <c r="G67" s="21"/>
      <c r="H67" s="22" t="str">
        <f t="shared" si="2"/>
        <v/>
      </c>
      <c r="I67" s="23" t="str">
        <f>IF($A67="","",$A67&amp;"#"&amp;COUNTIF($A$2:$A67,$A67))</f>
        <v/>
      </c>
      <c r="J67" s="23" t="str">
        <f t="shared" si="3"/>
        <v/>
      </c>
    </row>
    <row r="68" spans="1:10" x14ac:dyDescent="0.3">
      <c r="A68" s="19"/>
      <c r="B68" s="20"/>
      <c r="C68" s="21"/>
      <c r="D68" s="21"/>
      <c r="E68" s="21"/>
      <c r="F68" s="21"/>
      <c r="G68" s="21"/>
      <c r="H68" s="22" t="str">
        <f t="shared" si="2"/>
        <v/>
      </c>
      <c r="I68" s="23" t="str">
        <f>IF($A68="","",$A68&amp;"#"&amp;COUNTIF($A$2:$A68,$A68))</f>
        <v/>
      </c>
      <c r="J68" s="23" t="str">
        <f t="shared" si="3"/>
        <v/>
      </c>
    </row>
    <row r="69" spans="1:10" x14ac:dyDescent="0.3">
      <c r="A69" s="19"/>
      <c r="B69" s="20"/>
      <c r="C69" s="21"/>
      <c r="D69" s="21"/>
      <c r="E69" s="21"/>
      <c r="F69" s="21"/>
      <c r="G69" s="21"/>
      <c r="H69" s="22" t="str">
        <f t="shared" si="2"/>
        <v/>
      </c>
      <c r="I69" s="23" t="str">
        <f>IF($A69="","",$A69&amp;"#"&amp;COUNTIF($A$2:$A69,$A69))</f>
        <v/>
      </c>
      <c r="J69" s="23" t="str">
        <f t="shared" si="3"/>
        <v/>
      </c>
    </row>
    <row r="70" spans="1:10" x14ac:dyDescent="0.3">
      <c r="A70" s="19"/>
      <c r="B70" s="20"/>
      <c r="C70" s="21"/>
      <c r="D70" s="21"/>
      <c r="E70" s="21"/>
      <c r="F70" s="21"/>
      <c r="G70" s="21"/>
      <c r="H70" s="22" t="str">
        <f t="shared" si="2"/>
        <v/>
      </c>
      <c r="I70" s="23" t="str">
        <f>IF($A70="","",$A70&amp;"#"&amp;COUNTIF($A$2:$A70,$A70))</f>
        <v/>
      </c>
      <c r="J70" s="23" t="str">
        <f t="shared" si="3"/>
        <v/>
      </c>
    </row>
    <row r="71" spans="1:10" x14ac:dyDescent="0.3">
      <c r="A71" s="19"/>
      <c r="B71" s="20"/>
      <c r="C71" s="21"/>
      <c r="D71" s="21"/>
      <c r="E71" s="21"/>
      <c r="F71" s="21"/>
      <c r="G71" s="21"/>
      <c r="H71" s="22" t="str">
        <f t="shared" si="2"/>
        <v/>
      </c>
      <c r="I71" s="23" t="str">
        <f>IF($A71="","",$A71&amp;"#"&amp;COUNTIF($A$2:$A71,$A71))</f>
        <v/>
      </c>
      <c r="J71" s="23" t="str">
        <f t="shared" si="3"/>
        <v/>
      </c>
    </row>
    <row r="72" spans="1:10" x14ac:dyDescent="0.3">
      <c r="A72" s="19"/>
      <c r="B72" s="20"/>
      <c r="C72" s="21"/>
      <c r="D72" s="21"/>
      <c r="E72" s="21"/>
      <c r="F72" s="21"/>
      <c r="G72" s="21"/>
      <c r="H72" s="22" t="str">
        <f t="shared" si="2"/>
        <v/>
      </c>
      <c r="I72" s="23" t="str">
        <f>IF($A72="","",$A72&amp;"#"&amp;COUNTIF($A$2:$A72,$A72))</f>
        <v/>
      </c>
      <c r="J72" s="23" t="str">
        <f t="shared" si="3"/>
        <v/>
      </c>
    </row>
    <row r="73" spans="1:10" x14ac:dyDescent="0.3">
      <c r="A73" s="19"/>
      <c r="B73" s="20"/>
      <c r="C73" s="21"/>
      <c r="D73" s="21"/>
      <c r="E73" s="21"/>
      <c r="F73" s="21"/>
      <c r="G73" s="21"/>
      <c r="H73" s="22" t="str">
        <f t="shared" si="2"/>
        <v/>
      </c>
      <c r="I73" s="23" t="str">
        <f>IF($A73="","",$A73&amp;"#"&amp;COUNTIF($A$2:$A73,$A73))</f>
        <v/>
      </c>
      <c r="J73" s="23" t="str">
        <f t="shared" si="3"/>
        <v/>
      </c>
    </row>
    <row r="74" spans="1:10" x14ac:dyDescent="0.3">
      <c r="A74" s="19"/>
      <c r="B74" s="20"/>
      <c r="C74" s="21"/>
      <c r="D74" s="21"/>
      <c r="E74" s="21"/>
      <c r="F74" s="21"/>
      <c r="G74" s="21"/>
      <c r="H74" s="22" t="str">
        <f t="shared" si="2"/>
        <v/>
      </c>
      <c r="I74" s="23" t="str">
        <f>IF($A74="","",$A74&amp;"#"&amp;COUNTIF($A$2:$A74,$A74))</f>
        <v/>
      </c>
      <c r="J74" s="23" t="str">
        <f t="shared" si="3"/>
        <v/>
      </c>
    </row>
    <row r="75" spans="1:10" x14ac:dyDescent="0.3">
      <c r="A75" s="19"/>
      <c r="B75" s="20"/>
      <c r="C75" s="21"/>
      <c r="D75" s="21"/>
      <c r="E75" s="21"/>
      <c r="F75" s="21"/>
      <c r="G75" s="21"/>
      <c r="H75" s="22" t="str">
        <f t="shared" si="2"/>
        <v/>
      </c>
      <c r="I75" s="23" t="str">
        <f>IF($A75="","",$A75&amp;"#"&amp;COUNTIF($A$2:$A75,$A75))</f>
        <v/>
      </c>
      <c r="J75" s="23" t="str">
        <f t="shared" si="3"/>
        <v/>
      </c>
    </row>
    <row r="76" spans="1:10" x14ac:dyDescent="0.3">
      <c r="A76" s="19"/>
      <c r="B76" s="20"/>
      <c r="C76" s="21"/>
      <c r="D76" s="21"/>
      <c r="E76" s="21"/>
      <c r="F76" s="21"/>
      <c r="G76" s="21"/>
      <c r="H76" s="22" t="str">
        <f t="shared" si="2"/>
        <v/>
      </c>
      <c r="I76" s="23" t="str">
        <f>IF($A76="","",$A76&amp;"#"&amp;COUNTIF($A$2:$A76,$A76))</f>
        <v/>
      </c>
      <c r="J76" s="23" t="str">
        <f t="shared" si="3"/>
        <v/>
      </c>
    </row>
    <row r="77" spans="1:10" x14ac:dyDescent="0.3">
      <c r="A77" s="19"/>
      <c r="B77" s="20"/>
      <c r="C77" s="21"/>
      <c r="D77" s="21"/>
      <c r="E77" s="21"/>
      <c r="F77" s="21"/>
      <c r="G77" s="21"/>
      <c r="H77" s="22" t="str">
        <f t="shared" si="2"/>
        <v/>
      </c>
      <c r="I77" s="23" t="str">
        <f>IF($A77="","",$A77&amp;"#"&amp;COUNTIF($A$2:$A77,$A77))</f>
        <v/>
      </c>
      <c r="J77" s="23" t="str">
        <f t="shared" si="3"/>
        <v/>
      </c>
    </row>
    <row r="78" spans="1:10" x14ac:dyDescent="0.3">
      <c r="A78" s="19"/>
      <c r="B78" s="20"/>
      <c r="C78" s="21"/>
      <c r="D78" s="21"/>
      <c r="E78" s="21"/>
      <c r="F78" s="21"/>
      <c r="G78" s="21"/>
      <c r="H78" s="22" t="str">
        <f t="shared" si="2"/>
        <v/>
      </c>
      <c r="I78" s="23" t="str">
        <f>IF($A78="","",$A78&amp;"#"&amp;COUNTIF($A$2:$A78,$A78))</f>
        <v/>
      </c>
      <c r="J78" s="23" t="str">
        <f t="shared" si="3"/>
        <v/>
      </c>
    </row>
    <row r="79" spans="1:10" x14ac:dyDescent="0.3">
      <c r="A79" s="19"/>
      <c r="B79" s="20"/>
      <c r="C79" s="21"/>
      <c r="D79" s="21"/>
      <c r="E79" s="21"/>
      <c r="F79" s="21"/>
      <c r="G79" s="21"/>
      <c r="H79" s="22" t="str">
        <f t="shared" si="2"/>
        <v/>
      </c>
      <c r="I79" s="23" t="str">
        <f>IF($A79="","",$A79&amp;"#"&amp;COUNTIF($A$2:$A79,$A79))</f>
        <v/>
      </c>
      <c r="J79" s="23" t="str">
        <f t="shared" si="3"/>
        <v/>
      </c>
    </row>
    <row r="80" spans="1:10" x14ac:dyDescent="0.3">
      <c r="A80" s="19"/>
      <c r="B80" s="20"/>
      <c r="C80" s="21"/>
      <c r="D80" s="21"/>
      <c r="E80" s="21"/>
      <c r="F80" s="21"/>
      <c r="G80" s="21"/>
      <c r="H80" s="22" t="str">
        <f t="shared" si="2"/>
        <v/>
      </c>
      <c r="I80" s="23" t="str">
        <f>IF($A80="","",$A80&amp;"#"&amp;COUNTIF($A$2:$A80,$A80))</f>
        <v/>
      </c>
      <c r="J80" s="23" t="str">
        <f t="shared" si="3"/>
        <v/>
      </c>
    </row>
    <row r="81" spans="1:10" x14ac:dyDescent="0.3">
      <c r="A81" s="19"/>
      <c r="B81" s="20"/>
      <c r="C81" s="21"/>
      <c r="D81" s="21"/>
      <c r="E81" s="21"/>
      <c r="F81" s="21"/>
      <c r="G81" s="21"/>
      <c r="H81" s="22" t="str">
        <f t="shared" si="2"/>
        <v/>
      </c>
      <c r="I81" s="23" t="str">
        <f>IF($A81="","",$A81&amp;"#"&amp;COUNTIF($A$2:$A81,$A81))</f>
        <v/>
      </c>
      <c r="J81" s="23" t="str">
        <f t="shared" si="3"/>
        <v/>
      </c>
    </row>
    <row r="82" spans="1:10" x14ac:dyDescent="0.3">
      <c r="A82" s="19"/>
      <c r="B82" s="20"/>
      <c r="C82" s="21"/>
      <c r="D82" s="21"/>
      <c r="E82" s="21"/>
      <c r="F82" s="21"/>
      <c r="G82" s="21"/>
      <c r="H82" s="22" t="str">
        <f t="shared" si="2"/>
        <v/>
      </c>
      <c r="I82" s="23" t="str">
        <f>IF($A82="","",$A82&amp;"#"&amp;COUNTIF($A$2:$A82,$A82))</f>
        <v/>
      </c>
      <c r="J82" s="23" t="str">
        <f t="shared" si="3"/>
        <v/>
      </c>
    </row>
    <row r="83" spans="1:10" x14ac:dyDescent="0.3">
      <c r="A83" s="19"/>
      <c r="B83" s="20"/>
      <c r="C83" s="21"/>
      <c r="D83" s="21"/>
      <c r="E83" s="21"/>
      <c r="F83" s="21"/>
      <c r="G83" s="21"/>
      <c r="H83" s="22" t="str">
        <f t="shared" si="2"/>
        <v/>
      </c>
      <c r="I83" s="23" t="str">
        <f>IF($A83="","",$A83&amp;"#"&amp;COUNTIF($A$2:$A83,$A83))</f>
        <v/>
      </c>
      <c r="J83" s="23" t="str">
        <f t="shared" si="3"/>
        <v/>
      </c>
    </row>
    <row r="84" spans="1:10" x14ac:dyDescent="0.3">
      <c r="A84" s="19"/>
      <c r="B84" s="20"/>
      <c r="C84" s="21"/>
      <c r="D84" s="21"/>
      <c r="E84" s="21"/>
      <c r="F84" s="21"/>
      <c r="G84" s="21"/>
      <c r="H84" s="22" t="str">
        <f t="shared" si="2"/>
        <v/>
      </c>
      <c r="I84" s="23" t="str">
        <f>IF($A84="","",$A84&amp;"#"&amp;COUNTIF($A$2:$A84,$A84))</f>
        <v/>
      </c>
      <c r="J84" s="23" t="str">
        <f t="shared" si="3"/>
        <v/>
      </c>
    </row>
    <row r="85" spans="1:10" x14ac:dyDescent="0.3">
      <c r="A85" s="19"/>
      <c r="B85" s="20"/>
      <c r="C85" s="21"/>
      <c r="D85" s="21"/>
      <c r="E85" s="21"/>
      <c r="F85" s="21"/>
      <c r="G85" s="21"/>
      <c r="H85" s="22" t="str">
        <f t="shared" si="2"/>
        <v/>
      </c>
      <c r="I85" s="23" t="str">
        <f>IF($A85="","",$A85&amp;"#"&amp;COUNTIF($A$2:$A85,$A85))</f>
        <v/>
      </c>
      <c r="J85" s="23" t="str">
        <f t="shared" si="3"/>
        <v/>
      </c>
    </row>
    <row r="86" spans="1:10" x14ac:dyDescent="0.3">
      <c r="A86" s="19"/>
      <c r="B86" s="20"/>
      <c r="C86" s="21"/>
      <c r="D86" s="21"/>
      <c r="E86" s="21"/>
      <c r="F86" s="21"/>
      <c r="G86" s="21"/>
      <c r="H86" s="22" t="str">
        <f t="shared" si="2"/>
        <v/>
      </c>
      <c r="I86" s="23" t="str">
        <f>IF($A86="","",$A86&amp;"#"&amp;COUNTIF($A$2:$A86,$A86))</f>
        <v/>
      </c>
      <c r="J86" s="23" t="str">
        <f t="shared" si="3"/>
        <v/>
      </c>
    </row>
    <row r="87" spans="1:10" x14ac:dyDescent="0.3">
      <c r="A87" s="19"/>
      <c r="B87" s="20"/>
      <c r="C87" s="21"/>
      <c r="D87" s="21"/>
      <c r="E87" s="21"/>
      <c r="F87" s="21"/>
      <c r="G87" s="21"/>
      <c r="H87" s="22" t="str">
        <f t="shared" si="2"/>
        <v/>
      </c>
      <c r="I87" s="23" t="str">
        <f>IF($A87="","",$A87&amp;"#"&amp;COUNTIF($A$2:$A87,$A87))</f>
        <v/>
      </c>
      <c r="J87" s="23" t="str">
        <f t="shared" si="3"/>
        <v/>
      </c>
    </row>
    <row r="88" spans="1:10" x14ac:dyDescent="0.3">
      <c r="A88" s="19"/>
      <c r="B88" s="20"/>
      <c r="C88" s="21"/>
      <c r="D88" s="21"/>
      <c r="E88" s="21"/>
      <c r="F88" s="21"/>
      <c r="G88" s="21"/>
      <c r="H88" s="22" t="str">
        <f t="shared" si="2"/>
        <v/>
      </c>
      <c r="I88" s="23" t="str">
        <f>IF($A88="","",$A88&amp;"#"&amp;COUNTIF($A$2:$A88,$A88))</f>
        <v/>
      </c>
      <c r="J88" s="23" t="str">
        <f t="shared" si="3"/>
        <v/>
      </c>
    </row>
    <row r="89" spans="1:10" x14ac:dyDescent="0.3">
      <c r="A89" s="19"/>
      <c r="B89" s="20"/>
      <c r="C89" s="21"/>
      <c r="D89" s="21"/>
      <c r="E89" s="21"/>
      <c r="F89" s="21"/>
      <c r="G89" s="21"/>
      <c r="H89" s="22" t="str">
        <f t="shared" si="2"/>
        <v/>
      </c>
      <c r="I89" s="23" t="str">
        <f>IF($A89="","",$A89&amp;"#"&amp;COUNTIF($A$2:$A89,$A89))</f>
        <v/>
      </c>
      <c r="J89" s="23" t="str">
        <f t="shared" si="3"/>
        <v/>
      </c>
    </row>
    <row r="90" spans="1:10" x14ac:dyDescent="0.3">
      <c r="A90" s="19"/>
      <c r="B90" s="20"/>
      <c r="C90" s="21"/>
      <c r="D90" s="21"/>
      <c r="E90" s="21"/>
      <c r="F90" s="21"/>
      <c r="G90" s="21"/>
      <c r="H90" s="22" t="str">
        <f t="shared" si="2"/>
        <v/>
      </c>
      <c r="I90" s="23" t="str">
        <f>IF($A90="","",$A90&amp;"#"&amp;COUNTIF($A$2:$A90,$A90))</f>
        <v/>
      </c>
      <c r="J90" s="23" t="str">
        <f t="shared" si="3"/>
        <v/>
      </c>
    </row>
    <row r="91" spans="1:10" x14ac:dyDescent="0.3">
      <c r="A91" s="19"/>
      <c r="B91" s="20"/>
      <c r="C91" s="21"/>
      <c r="D91" s="21"/>
      <c r="E91" s="21"/>
      <c r="F91" s="21"/>
      <c r="G91" s="21"/>
      <c r="H91" s="22" t="str">
        <f t="shared" si="2"/>
        <v/>
      </c>
      <c r="I91" s="23" t="str">
        <f>IF($A91="","",$A91&amp;"#"&amp;COUNTIF($A$2:$A91,$A91))</f>
        <v/>
      </c>
      <c r="J91" s="23" t="str">
        <f t="shared" si="3"/>
        <v/>
      </c>
    </row>
    <row r="92" spans="1:10" x14ac:dyDescent="0.3">
      <c r="A92" s="19"/>
      <c r="B92" s="20"/>
      <c r="C92" s="21"/>
      <c r="D92" s="21"/>
      <c r="E92" s="21"/>
      <c r="F92" s="21"/>
      <c r="G92" s="21"/>
      <c r="H92" s="22" t="str">
        <f t="shared" si="2"/>
        <v/>
      </c>
      <c r="I92" s="23" t="str">
        <f>IF($A92="","",$A92&amp;"#"&amp;COUNTIF($A$2:$A92,$A92))</f>
        <v/>
      </c>
      <c r="J92" s="23" t="str">
        <f t="shared" si="3"/>
        <v/>
      </c>
    </row>
    <row r="93" spans="1:10" x14ac:dyDescent="0.3">
      <c r="A93" s="19"/>
      <c r="B93" s="20"/>
      <c r="C93" s="21"/>
      <c r="D93" s="21"/>
      <c r="E93" s="21"/>
      <c r="F93" s="21"/>
      <c r="G93" s="21"/>
      <c r="H93" s="22" t="str">
        <f t="shared" si="2"/>
        <v/>
      </c>
      <c r="I93" s="23" t="str">
        <f>IF($A93="","",$A93&amp;"#"&amp;COUNTIF($A$2:$A93,$A93))</f>
        <v/>
      </c>
      <c r="J93" s="23" t="str">
        <f t="shared" si="3"/>
        <v/>
      </c>
    </row>
    <row r="94" spans="1:10" x14ac:dyDescent="0.3">
      <c r="A94" s="19"/>
      <c r="B94" s="20"/>
      <c r="C94" s="21"/>
      <c r="D94" s="21"/>
      <c r="E94" s="21"/>
      <c r="F94" s="21"/>
      <c r="G94" s="21"/>
      <c r="H94" s="22" t="str">
        <f t="shared" si="2"/>
        <v/>
      </c>
      <c r="I94" s="23" t="str">
        <f>IF($A94="","",$A94&amp;"#"&amp;COUNTIF($A$2:$A94,$A94))</f>
        <v/>
      </c>
      <c r="J94" s="23" t="str">
        <f t="shared" si="3"/>
        <v/>
      </c>
    </row>
    <row r="95" spans="1:10" x14ac:dyDescent="0.3">
      <c r="A95" s="19"/>
      <c r="B95" s="20"/>
      <c r="C95" s="21"/>
      <c r="D95" s="21"/>
      <c r="E95" s="21"/>
      <c r="F95" s="21"/>
      <c r="G95" s="21"/>
      <c r="H95" s="22" t="str">
        <f t="shared" si="2"/>
        <v/>
      </c>
      <c r="I95" s="23" t="str">
        <f>IF($A95="","",$A95&amp;"#"&amp;COUNTIF($A$2:$A95,$A95))</f>
        <v/>
      </c>
      <c r="J95" s="23" t="str">
        <f t="shared" si="3"/>
        <v/>
      </c>
    </row>
    <row r="96" spans="1:10" x14ac:dyDescent="0.3">
      <c r="A96" s="19"/>
      <c r="B96" s="20"/>
      <c r="C96" s="21"/>
      <c r="D96" s="21"/>
      <c r="E96" s="21"/>
      <c r="F96" s="21"/>
      <c r="G96" s="21"/>
      <c r="H96" s="22" t="str">
        <f t="shared" si="2"/>
        <v/>
      </c>
      <c r="I96" s="23" t="str">
        <f>IF($A96="","",$A96&amp;"#"&amp;COUNTIF($A$2:$A96,$A96))</f>
        <v/>
      </c>
      <c r="J96" s="23" t="str">
        <f t="shared" si="3"/>
        <v/>
      </c>
    </row>
    <row r="97" spans="1:10" x14ac:dyDescent="0.3">
      <c r="A97" s="19"/>
      <c r="B97" s="20"/>
      <c r="C97" s="21"/>
      <c r="D97" s="21"/>
      <c r="E97" s="21"/>
      <c r="F97" s="21"/>
      <c r="G97" s="21"/>
      <c r="H97" s="22" t="str">
        <f t="shared" si="2"/>
        <v/>
      </c>
      <c r="I97" s="23" t="str">
        <f>IF($A97="","",$A97&amp;"#"&amp;COUNTIF($A$2:$A97,$A97))</f>
        <v/>
      </c>
      <c r="J97" s="23" t="str">
        <f t="shared" si="3"/>
        <v/>
      </c>
    </row>
    <row r="98" spans="1:10" x14ac:dyDescent="0.3">
      <c r="A98" s="19"/>
      <c r="B98" s="20"/>
      <c r="C98" s="21"/>
      <c r="D98" s="21"/>
      <c r="E98" s="21"/>
      <c r="F98" s="21"/>
      <c r="G98" s="21"/>
      <c r="H98" s="22" t="str">
        <f t="shared" si="2"/>
        <v/>
      </c>
      <c r="I98" s="23" t="str">
        <f>IF($A98="","",$A98&amp;"#"&amp;COUNTIF($A$2:$A98,$A98))</f>
        <v/>
      </c>
      <c r="J98" s="23" t="str">
        <f t="shared" si="3"/>
        <v/>
      </c>
    </row>
    <row r="99" spans="1:10" x14ac:dyDescent="0.3">
      <c r="A99" s="19"/>
      <c r="B99" s="20"/>
      <c r="C99" s="21"/>
      <c r="D99" s="21"/>
      <c r="E99" s="21"/>
      <c r="F99" s="21"/>
      <c r="G99" s="21"/>
      <c r="H99" s="22" t="str">
        <f t="shared" si="2"/>
        <v/>
      </c>
      <c r="I99" s="23" t="str">
        <f>IF($A99="","",$A99&amp;"#"&amp;COUNTIF($A$2:$A99,$A99))</f>
        <v/>
      </c>
      <c r="J99" s="23" t="str">
        <f t="shared" si="3"/>
        <v/>
      </c>
    </row>
    <row r="100" spans="1:10" x14ac:dyDescent="0.3">
      <c r="A100" s="19"/>
      <c r="B100" s="20"/>
      <c r="C100" s="21"/>
      <c r="D100" s="21"/>
      <c r="E100" s="21"/>
      <c r="F100" s="21"/>
      <c r="G100" s="21"/>
      <c r="H100" s="22" t="str">
        <f t="shared" si="2"/>
        <v/>
      </c>
      <c r="I100" s="23" t="str">
        <f>IF($A100="","",$A100&amp;"#"&amp;COUNTIF($A$2:$A100,$A100))</f>
        <v/>
      </c>
      <c r="J100" s="23" t="str">
        <f t="shared" si="3"/>
        <v/>
      </c>
    </row>
    <row r="101" spans="1:10" x14ac:dyDescent="0.3">
      <c r="A101" s="19"/>
      <c r="B101" s="20"/>
      <c r="C101" s="21"/>
      <c r="D101" s="21"/>
      <c r="E101" s="21"/>
      <c r="F101" s="21"/>
      <c r="G101" s="21"/>
      <c r="H101" s="22" t="str">
        <f t="shared" si="2"/>
        <v/>
      </c>
      <c r="I101" s="23" t="str">
        <f>IF($A101="","",$A101&amp;"#"&amp;COUNTIF($A$2:$A101,$A101))</f>
        <v/>
      </c>
      <c r="J101" s="23" t="str">
        <f t="shared" si="3"/>
        <v/>
      </c>
    </row>
    <row r="102" spans="1:10" x14ac:dyDescent="0.3">
      <c r="A102" s="19"/>
      <c r="B102" s="20"/>
      <c r="C102" s="21"/>
      <c r="D102" s="21"/>
      <c r="E102" s="21"/>
      <c r="F102" s="21"/>
      <c r="G102" s="21"/>
      <c r="H102" s="22" t="str">
        <f t="shared" si="2"/>
        <v/>
      </c>
      <c r="I102" s="23" t="str">
        <f>IF($A102="","",$A102&amp;"#"&amp;COUNTIF($A$2:$A102,$A102))</f>
        <v/>
      </c>
      <c r="J102" s="23" t="str">
        <f t="shared" si="3"/>
        <v/>
      </c>
    </row>
    <row r="103" spans="1:10" x14ac:dyDescent="0.3">
      <c r="A103" s="19"/>
      <c r="B103" s="20"/>
      <c r="C103" s="21"/>
      <c r="D103" s="21"/>
      <c r="E103" s="21"/>
      <c r="F103" s="21"/>
      <c r="G103" s="21"/>
      <c r="H103" s="22" t="str">
        <f t="shared" si="2"/>
        <v/>
      </c>
      <c r="I103" s="23" t="str">
        <f>IF($A103="","",$A103&amp;"#"&amp;COUNTIF($A$2:$A103,$A103))</f>
        <v/>
      </c>
      <c r="J103" s="23" t="str">
        <f t="shared" si="3"/>
        <v/>
      </c>
    </row>
    <row r="104" spans="1:10" x14ac:dyDescent="0.3">
      <c r="A104" s="19"/>
      <c r="B104" s="20"/>
      <c r="C104" s="21"/>
      <c r="D104" s="21"/>
      <c r="E104" s="21"/>
      <c r="F104" s="21"/>
      <c r="G104" s="21"/>
      <c r="H104" s="22" t="str">
        <f t="shared" si="2"/>
        <v/>
      </c>
      <c r="I104" s="23" t="str">
        <f>IF($A104="","",$A104&amp;"#"&amp;COUNTIF($A$2:$A104,$A104))</f>
        <v/>
      </c>
      <c r="J104" s="23" t="str">
        <f t="shared" si="3"/>
        <v/>
      </c>
    </row>
    <row r="105" spans="1:10" x14ac:dyDescent="0.3">
      <c r="A105" s="19"/>
      <c r="B105" s="20"/>
      <c r="C105" s="21"/>
      <c r="D105" s="21"/>
      <c r="E105" s="21"/>
      <c r="F105" s="21"/>
      <c r="G105" s="21"/>
      <c r="H105" s="22" t="str">
        <f t="shared" si="2"/>
        <v/>
      </c>
      <c r="I105" s="23" t="str">
        <f>IF($A105="","",$A105&amp;"#"&amp;COUNTIF($A$2:$A105,$A105))</f>
        <v/>
      </c>
      <c r="J105" s="23" t="str">
        <f t="shared" si="3"/>
        <v/>
      </c>
    </row>
    <row r="106" spans="1:10" x14ac:dyDescent="0.3">
      <c r="A106" s="19"/>
      <c r="B106" s="20"/>
      <c r="C106" s="21"/>
      <c r="D106" s="21"/>
      <c r="E106" s="21"/>
      <c r="F106" s="21"/>
      <c r="G106" s="21"/>
      <c r="H106" s="22" t="str">
        <f t="shared" si="2"/>
        <v/>
      </c>
      <c r="I106" s="23" t="str">
        <f>IF($A106="","",$A106&amp;"#"&amp;COUNTIF($A$2:$A106,$A106))</f>
        <v/>
      </c>
      <c r="J106" s="23" t="str">
        <f t="shared" si="3"/>
        <v/>
      </c>
    </row>
    <row r="107" spans="1:10" x14ac:dyDescent="0.3">
      <c r="A107" s="19"/>
      <c r="B107" s="20"/>
      <c r="C107" s="21"/>
      <c r="D107" s="21"/>
      <c r="E107" s="21"/>
      <c r="F107" s="21"/>
      <c r="G107" s="21"/>
      <c r="H107" s="22" t="str">
        <f t="shared" si="2"/>
        <v/>
      </c>
      <c r="I107" s="23" t="str">
        <f>IF($A107="","",$A107&amp;"#"&amp;COUNTIF($A$2:$A107,$A107))</f>
        <v/>
      </c>
      <c r="J107" s="23" t="str">
        <f t="shared" si="3"/>
        <v/>
      </c>
    </row>
    <row r="108" spans="1:10" x14ac:dyDescent="0.3">
      <c r="A108" s="19"/>
      <c r="B108" s="20"/>
      <c r="C108" s="21"/>
      <c r="D108" s="21"/>
      <c r="E108" s="21"/>
      <c r="F108" s="21"/>
      <c r="G108" s="21"/>
      <c r="H108" s="22" t="str">
        <f t="shared" si="2"/>
        <v/>
      </c>
      <c r="I108" s="23" t="str">
        <f>IF($A108="","",$A108&amp;"#"&amp;COUNTIF($A$2:$A108,$A108))</f>
        <v/>
      </c>
      <c r="J108" s="23" t="str">
        <f t="shared" si="3"/>
        <v/>
      </c>
    </row>
    <row r="109" spans="1:10" x14ac:dyDescent="0.3">
      <c r="A109" s="19"/>
      <c r="B109" s="20"/>
      <c r="C109" s="21"/>
      <c r="D109" s="21"/>
      <c r="E109" s="21"/>
      <c r="F109" s="21"/>
      <c r="G109" s="21"/>
      <c r="H109" s="22" t="str">
        <f t="shared" si="2"/>
        <v/>
      </c>
      <c r="I109" s="23" t="str">
        <f>IF($A109="","",$A109&amp;"#"&amp;COUNTIF($A$2:$A109,$A109))</f>
        <v/>
      </c>
      <c r="J109" s="23" t="str">
        <f t="shared" si="3"/>
        <v/>
      </c>
    </row>
    <row r="110" spans="1:10" x14ac:dyDescent="0.3">
      <c r="A110" s="19"/>
      <c r="B110" s="20"/>
      <c r="C110" s="21"/>
      <c r="D110" s="21"/>
      <c r="E110" s="21"/>
      <c r="F110" s="21"/>
      <c r="G110" s="21"/>
      <c r="H110" s="22" t="str">
        <f t="shared" si="2"/>
        <v/>
      </c>
      <c r="I110" s="23" t="str">
        <f>IF($A110="","",$A110&amp;"#"&amp;COUNTIF($A$2:$A110,$A110))</f>
        <v/>
      </c>
      <c r="J110" s="23" t="str">
        <f t="shared" si="3"/>
        <v/>
      </c>
    </row>
    <row r="111" spans="1:10" x14ac:dyDescent="0.3">
      <c r="A111" s="19"/>
      <c r="B111" s="20"/>
      <c r="C111" s="21"/>
      <c r="D111" s="21"/>
      <c r="E111" s="21"/>
      <c r="F111" s="21"/>
      <c r="G111" s="21"/>
      <c r="H111" s="22" t="str">
        <f t="shared" si="2"/>
        <v/>
      </c>
      <c r="I111" s="23" t="str">
        <f>IF($A111="","",$A111&amp;"#"&amp;COUNTIF($A$2:$A111,$A111))</f>
        <v/>
      </c>
      <c r="J111" s="23" t="str">
        <f t="shared" si="3"/>
        <v/>
      </c>
    </row>
    <row r="112" spans="1:10" x14ac:dyDescent="0.3">
      <c r="A112" s="19"/>
      <c r="B112" s="20"/>
      <c r="C112" s="21"/>
      <c r="D112" s="21"/>
      <c r="E112" s="21"/>
      <c r="F112" s="21"/>
      <c r="G112" s="21"/>
      <c r="H112" s="22" t="str">
        <f t="shared" si="2"/>
        <v/>
      </c>
      <c r="I112" s="23" t="str">
        <f>IF($A112="","",$A112&amp;"#"&amp;COUNTIF($A$2:$A112,$A112))</f>
        <v/>
      </c>
      <c r="J112" s="23" t="str">
        <f t="shared" si="3"/>
        <v/>
      </c>
    </row>
    <row r="113" spans="1:10" x14ac:dyDescent="0.3">
      <c r="A113" s="19"/>
      <c r="B113" s="20"/>
      <c r="C113" s="21"/>
      <c r="D113" s="21"/>
      <c r="E113" s="21"/>
      <c r="F113" s="21"/>
      <c r="G113" s="21"/>
      <c r="H113" s="22" t="str">
        <f t="shared" si="2"/>
        <v/>
      </c>
      <c r="I113" s="23" t="str">
        <f>IF($A113="","",$A113&amp;"#"&amp;COUNTIF($A$2:$A113,$A113))</f>
        <v/>
      </c>
      <c r="J113" s="23" t="str">
        <f t="shared" si="3"/>
        <v/>
      </c>
    </row>
    <row r="114" spans="1:10" x14ac:dyDescent="0.3">
      <c r="A114" s="19"/>
      <c r="B114" s="20"/>
      <c r="C114" s="21"/>
      <c r="D114" s="21"/>
      <c r="E114" s="21"/>
      <c r="F114" s="21"/>
      <c r="G114" s="21"/>
      <c r="H114" s="22" t="str">
        <f t="shared" si="2"/>
        <v/>
      </c>
      <c r="I114" s="23" t="str">
        <f>IF($A114="","",$A114&amp;"#"&amp;COUNTIF($A$2:$A114,$A114))</f>
        <v/>
      </c>
      <c r="J114" s="23" t="str">
        <f t="shared" si="3"/>
        <v/>
      </c>
    </row>
    <row r="115" spans="1:10" x14ac:dyDescent="0.3">
      <c r="A115" s="19"/>
      <c r="B115" s="20"/>
      <c r="C115" s="21"/>
      <c r="D115" s="21"/>
      <c r="E115" s="21"/>
      <c r="F115" s="21"/>
      <c r="G115" s="21"/>
      <c r="H115" s="22" t="str">
        <f t="shared" si="2"/>
        <v/>
      </c>
      <c r="I115" s="23" t="str">
        <f>IF($A115="","",$A115&amp;"#"&amp;COUNTIF($A$2:$A115,$A115))</f>
        <v/>
      </c>
      <c r="J115" s="23" t="str">
        <f t="shared" si="3"/>
        <v/>
      </c>
    </row>
    <row r="116" spans="1:10" x14ac:dyDescent="0.3">
      <c r="A116" s="19"/>
      <c r="B116" s="20"/>
      <c r="C116" s="21"/>
      <c r="D116" s="21"/>
      <c r="E116" s="21"/>
      <c r="F116" s="21"/>
      <c r="G116" s="21"/>
      <c r="H116" s="22" t="str">
        <f t="shared" si="2"/>
        <v/>
      </c>
      <c r="I116" s="23" t="str">
        <f>IF($A116="","",$A116&amp;"#"&amp;COUNTIF($A$2:$A116,$A116))</f>
        <v/>
      </c>
      <c r="J116" s="23" t="str">
        <f t="shared" si="3"/>
        <v/>
      </c>
    </row>
    <row r="117" spans="1:10" x14ac:dyDescent="0.3">
      <c r="A117" s="19"/>
      <c r="B117" s="20"/>
      <c r="C117" s="21"/>
      <c r="D117" s="21"/>
      <c r="E117" s="21"/>
      <c r="F117" s="21"/>
      <c r="G117" s="21"/>
      <c r="H117" s="22" t="str">
        <f t="shared" si="2"/>
        <v/>
      </c>
      <c r="I117" s="23" t="str">
        <f>IF($A117="","",$A117&amp;"#"&amp;COUNTIF($A$2:$A117,$A117))</f>
        <v/>
      </c>
      <c r="J117" s="23" t="str">
        <f t="shared" si="3"/>
        <v/>
      </c>
    </row>
    <row r="118" spans="1:10" x14ac:dyDescent="0.3">
      <c r="A118" s="19"/>
      <c r="B118" s="20"/>
      <c r="C118" s="21"/>
      <c r="D118" s="21"/>
      <c r="E118" s="21"/>
      <c r="F118" s="21"/>
      <c r="G118" s="21"/>
      <c r="H118" s="22" t="str">
        <f t="shared" si="2"/>
        <v/>
      </c>
      <c r="I118" s="23" t="str">
        <f>IF($A118="","",$A118&amp;"#"&amp;COUNTIF($A$2:$A118,$A118))</f>
        <v/>
      </c>
      <c r="J118" s="23" t="str">
        <f t="shared" si="3"/>
        <v/>
      </c>
    </row>
    <row r="119" spans="1:10" x14ac:dyDescent="0.3">
      <c r="A119" s="19"/>
      <c r="B119" s="20"/>
      <c r="C119" s="21"/>
      <c r="D119" s="21"/>
      <c r="E119" s="21"/>
      <c r="F119" s="21"/>
      <c r="G119" s="21"/>
      <c r="H119" s="22" t="str">
        <f t="shared" si="2"/>
        <v/>
      </c>
      <c r="I119" s="23" t="str">
        <f>IF($A119="","",$A119&amp;"#"&amp;COUNTIF($A$2:$A119,$A119))</f>
        <v/>
      </c>
      <c r="J119" s="23" t="str">
        <f t="shared" si="3"/>
        <v/>
      </c>
    </row>
    <row r="120" spans="1:10" x14ac:dyDescent="0.3">
      <c r="C120" s="44"/>
      <c r="D120" s="44"/>
      <c r="E120" s="44"/>
      <c r="F120" s="44"/>
      <c r="G120" s="44"/>
      <c r="H120" s="22" t="str">
        <f t="shared" si="2"/>
        <v/>
      </c>
      <c r="I120" s="23" t="str">
        <f>IF($A120="","",$A120&amp;"#"&amp;COUNTIF($A$2:$A120,$A120))</f>
        <v/>
      </c>
      <c r="J120" s="23" t="str">
        <f t="shared" si="3"/>
        <v/>
      </c>
    </row>
    <row r="121" spans="1:10" x14ac:dyDescent="0.3">
      <c r="C121" s="44"/>
      <c r="D121" s="44"/>
      <c r="E121" s="44"/>
      <c r="F121" s="44"/>
      <c r="G121" s="44"/>
      <c r="H121" s="22" t="str">
        <f t="shared" si="2"/>
        <v/>
      </c>
      <c r="I121" s="23" t="str">
        <f>IF($A121="","",$A121&amp;"#"&amp;COUNTIF($A$2:$A121,$A121))</f>
        <v/>
      </c>
      <c r="J121" s="23" t="str">
        <f t="shared" si="3"/>
        <v/>
      </c>
    </row>
    <row r="122" spans="1:10" x14ac:dyDescent="0.3">
      <c r="C122" s="44"/>
      <c r="D122" s="44"/>
      <c r="E122" s="44"/>
      <c r="F122" s="44"/>
      <c r="G122" s="44"/>
      <c r="H122" s="22" t="str">
        <f t="shared" si="2"/>
        <v/>
      </c>
      <c r="I122" s="23" t="str">
        <f>IF($A122="","",$A122&amp;"#"&amp;COUNTIF($A$2:$A122,$A122))</f>
        <v/>
      </c>
      <c r="J122" s="23" t="str">
        <f t="shared" si="3"/>
        <v/>
      </c>
    </row>
    <row r="123" spans="1:10" x14ac:dyDescent="0.3">
      <c r="C123" s="44"/>
      <c r="D123" s="44"/>
      <c r="E123" s="44"/>
      <c r="F123" s="44"/>
      <c r="G123" s="44"/>
      <c r="H123" s="22" t="str">
        <f t="shared" si="2"/>
        <v/>
      </c>
      <c r="I123" s="23" t="str">
        <f>IF($A123="","",$A123&amp;"#"&amp;COUNTIF($A$2:$A123,$A123))</f>
        <v/>
      </c>
      <c r="J123" s="23" t="str">
        <f t="shared" si="3"/>
        <v/>
      </c>
    </row>
    <row r="124" spans="1:10" x14ac:dyDescent="0.3">
      <c r="C124" s="44"/>
      <c r="D124" s="44"/>
      <c r="E124" s="44"/>
      <c r="F124" s="44"/>
      <c r="G124" s="44"/>
      <c r="H124" s="22" t="str">
        <f t="shared" si="2"/>
        <v/>
      </c>
      <c r="I124" s="23" t="str">
        <f>IF($A124="","",$A124&amp;"#"&amp;COUNTIF($A$2:$A124,$A124))</f>
        <v/>
      </c>
      <c r="J124" s="23" t="str">
        <f t="shared" si="3"/>
        <v/>
      </c>
    </row>
    <row r="125" spans="1:10" x14ac:dyDescent="0.3">
      <c r="C125" s="44"/>
      <c r="D125" s="44"/>
      <c r="E125" s="44"/>
      <c r="F125" s="44"/>
      <c r="G125" s="44"/>
      <c r="H125" s="22" t="str">
        <f t="shared" si="2"/>
        <v/>
      </c>
      <c r="I125" s="23" t="str">
        <f>IF($A125="","",$A125&amp;"#"&amp;COUNTIF($A$2:$A125,$A125))</f>
        <v/>
      </c>
      <c r="J125" s="23" t="str">
        <f t="shared" si="3"/>
        <v/>
      </c>
    </row>
    <row r="126" spans="1:10" x14ac:dyDescent="0.3">
      <c r="C126" s="44"/>
      <c r="D126" s="44"/>
      <c r="E126" s="44"/>
      <c r="F126" s="44"/>
      <c r="G126" s="44"/>
      <c r="H126" s="22" t="str">
        <f t="shared" si="2"/>
        <v/>
      </c>
      <c r="I126" s="23" t="str">
        <f>IF($A126="","",$A126&amp;"#"&amp;COUNTIF($A$2:$A126,$A126))</f>
        <v/>
      </c>
      <c r="J126" s="23" t="str">
        <f t="shared" si="3"/>
        <v/>
      </c>
    </row>
    <row r="127" spans="1:10" x14ac:dyDescent="0.3">
      <c r="C127" s="44"/>
      <c r="D127" s="44"/>
      <c r="E127" s="44"/>
      <c r="F127" s="44"/>
      <c r="G127" s="44"/>
      <c r="H127" s="22" t="str">
        <f t="shared" si="2"/>
        <v/>
      </c>
      <c r="I127" s="23" t="str">
        <f>IF($A127="","",$A127&amp;"#"&amp;COUNTIF($A$2:$A127,$A127))</f>
        <v/>
      </c>
      <c r="J127" s="23" t="str">
        <f t="shared" si="3"/>
        <v/>
      </c>
    </row>
    <row r="128" spans="1:10" x14ac:dyDescent="0.3">
      <c r="C128" s="44"/>
      <c r="D128" s="44"/>
      <c r="E128" s="44"/>
      <c r="F128" s="44"/>
      <c r="G128" s="44"/>
      <c r="H128" s="22" t="str">
        <f t="shared" si="2"/>
        <v/>
      </c>
      <c r="I128" s="23" t="str">
        <f>IF($A128="","",$A128&amp;"#"&amp;COUNTIF($A$2:$A128,$A128))</f>
        <v/>
      </c>
      <c r="J128" s="23" t="str">
        <f t="shared" si="3"/>
        <v/>
      </c>
    </row>
    <row r="129" spans="3:10" x14ac:dyDescent="0.3">
      <c r="C129" s="44"/>
      <c r="D129" s="44"/>
      <c r="E129" s="44"/>
      <c r="F129" s="44"/>
      <c r="G129" s="44"/>
      <c r="H129" s="22" t="str">
        <f t="shared" si="2"/>
        <v/>
      </c>
      <c r="I129" s="23" t="str">
        <f>IF($A129="","",$A129&amp;"#"&amp;COUNTIF($A$2:$A129,$A129))</f>
        <v/>
      </c>
      <c r="J129" s="23" t="str">
        <f t="shared" si="3"/>
        <v/>
      </c>
    </row>
    <row r="130" spans="3:10" x14ac:dyDescent="0.3">
      <c r="C130" s="44"/>
      <c r="D130" s="44"/>
      <c r="E130" s="44"/>
      <c r="F130" s="44"/>
      <c r="G130" s="44"/>
      <c r="H130" s="22" t="str">
        <f t="shared" ref="H130:H193" si="4">IF($A130="","",CHOOSE(WEEKDAY($A130,2),"Δευ","Τρί","Τετ","Πέμ","Παρ","Σάβ","Κυρ"))</f>
        <v/>
      </c>
      <c r="I130" s="23" t="str">
        <f>IF($A130="","",$A130&amp;"#"&amp;COUNTIF($A$2:$A130,$A130))</f>
        <v/>
      </c>
      <c r="J130" s="23" t="str">
        <f t="shared" ref="J130:J193" si="5">IF($A130="","",IF($B130="","",$B130&amp;"  ")&amp;$C130&amp;IF($E130="","","  ("&amp;$E130&amp;")"))</f>
        <v/>
      </c>
    </row>
    <row r="131" spans="3:10" x14ac:dyDescent="0.3">
      <c r="C131" s="44"/>
      <c r="D131" s="44"/>
      <c r="E131" s="44"/>
      <c r="F131" s="44"/>
      <c r="G131" s="44"/>
      <c r="H131" s="22" t="str">
        <f t="shared" si="4"/>
        <v/>
      </c>
      <c r="I131" s="23" t="str">
        <f>IF($A131="","",$A131&amp;"#"&amp;COUNTIF($A$2:$A131,$A131))</f>
        <v/>
      </c>
      <c r="J131" s="23" t="str">
        <f t="shared" si="5"/>
        <v/>
      </c>
    </row>
    <row r="132" spans="3:10" x14ac:dyDescent="0.3">
      <c r="C132" s="44"/>
      <c r="D132" s="44"/>
      <c r="E132" s="44"/>
      <c r="F132" s="44"/>
      <c r="G132" s="44"/>
      <c r="H132" s="22" t="str">
        <f t="shared" si="4"/>
        <v/>
      </c>
      <c r="I132" s="23" t="str">
        <f>IF($A132="","",$A132&amp;"#"&amp;COUNTIF($A$2:$A132,$A132))</f>
        <v/>
      </c>
      <c r="J132" s="23" t="str">
        <f t="shared" si="5"/>
        <v/>
      </c>
    </row>
    <row r="133" spans="3:10" x14ac:dyDescent="0.3">
      <c r="C133" s="44"/>
      <c r="D133" s="44"/>
      <c r="E133" s="44"/>
      <c r="F133" s="44"/>
      <c r="G133" s="44"/>
      <c r="H133" s="22" t="str">
        <f t="shared" si="4"/>
        <v/>
      </c>
      <c r="I133" s="23" t="str">
        <f>IF($A133="","",$A133&amp;"#"&amp;COUNTIF($A$2:$A133,$A133))</f>
        <v/>
      </c>
      <c r="J133" s="23" t="str">
        <f t="shared" si="5"/>
        <v/>
      </c>
    </row>
    <row r="134" spans="3:10" x14ac:dyDescent="0.3">
      <c r="C134" s="44"/>
      <c r="D134" s="44"/>
      <c r="E134" s="44"/>
      <c r="F134" s="44"/>
      <c r="G134" s="44"/>
      <c r="H134" s="22" t="str">
        <f t="shared" si="4"/>
        <v/>
      </c>
      <c r="I134" s="23" t="str">
        <f>IF($A134="","",$A134&amp;"#"&amp;COUNTIF($A$2:$A134,$A134))</f>
        <v/>
      </c>
      <c r="J134" s="23" t="str">
        <f t="shared" si="5"/>
        <v/>
      </c>
    </row>
    <row r="135" spans="3:10" x14ac:dyDescent="0.3">
      <c r="C135" s="44"/>
      <c r="D135" s="44"/>
      <c r="E135" s="44"/>
      <c r="F135" s="44"/>
      <c r="G135" s="44"/>
      <c r="H135" s="22" t="str">
        <f t="shared" si="4"/>
        <v/>
      </c>
      <c r="I135" s="23" t="str">
        <f>IF($A135="","",$A135&amp;"#"&amp;COUNTIF($A$2:$A135,$A135))</f>
        <v/>
      </c>
      <c r="J135" s="23" t="str">
        <f t="shared" si="5"/>
        <v/>
      </c>
    </row>
    <row r="136" spans="3:10" x14ac:dyDescent="0.3">
      <c r="C136" s="44"/>
      <c r="D136" s="44"/>
      <c r="E136" s="44"/>
      <c r="F136" s="44"/>
      <c r="G136" s="44"/>
      <c r="H136" s="22" t="str">
        <f t="shared" si="4"/>
        <v/>
      </c>
      <c r="I136" s="23" t="str">
        <f>IF($A136="","",$A136&amp;"#"&amp;COUNTIF($A$2:$A136,$A136))</f>
        <v/>
      </c>
      <c r="J136" s="23" t="str">
        <f t="shared" si="5"/>
        <v/>
      </c>
    </row>
    <row r="137" spans="3:10" x14ac:dyDescent="0.3">
      <c r="C137" s="44"/>
      <c r="D137" s="44"/>
      <c r="E137" s="44"/>
      <c r="F137" s="44"/>
      <c r="G137" s="44"/>
      <c r="H137" s="22" t="str">
        <f t="shared" si="4"/>
        <v/>
      </c>
      <c r="I137" s="23" t="str">
        <f>IF($A137="","",$A137&amp;"#"&amp;COUNTIF($A$2:$A137,$A137))</f>
        <v/>
      </c>
      <c r="J137" s="23" t="str">
        <f t="shared" si="5"/>
        <v/>
      </c>
    </row>
    <row r="138" spans="3:10" x14ac:dyDescent="0.3">
      <c r="C138" s="44"/>
      <c r="D138" s="44"/>
      <c r="E138" s="44"/>
      <c r="F138" s="44"/>
      <c r="G138" s="44"/>
      <c r="H138" s="22" t="str">
        <f t="shared" si="4"/>
        <v/>
      </c>
      <c r="I138" s="23" t="str">
        <f>IF($A138="","",$A138&amp;"#"&amp;COUNTIF($A$2:$A138,$A138))</f>
        <v/>
      </c>
      <c r="J138" s="23" t="str">
        <f t="shared" si="5"/>
        <v/>
      </c>
    </row>
    <row r="139" spans="3:10" x14ac:dyDescent="0.3">
      <c r="C139" s="44"/>
      <c r="D139" s="44"/>
      <c r="E139" s="44"/>
      <c r="F139" s="44"/>
      <c r="G139" s="44"/>
      <c r="H139" s="22" t="str">
        <f t="shared" si="4"/>
        <v/>
      </c>
      <c r="I139" s="23" t="str">
        <f>IF($A139="","",$A139&amp;"#"&amp;COUNTIF($A$2:$A139,$A139))</f>
        <v/>
      </c>
      <c r="J139" s="23" t="str">
        <f t="shared" si="5"/>
        <v/>
      </c>
    </row>
    <row r="140" spans="3:10" x14ac:dyDescent="0.3">
      <c r="C140" s="44"/>
      <c r="D140" s="44"/>
      <c r="E140" s="44"/>
      <c r="F140" s="44"/>
      <c r="G140" s="44"/>
      <c r="H140" s="22" t="str">
        <f t="shared" si="4"/>
        <v/>
      </c>
      <c r="I140" s="23" t="str">
        <f>IF($A140="","",$A140&amp;"#"&amp;COUNTIF($A$2:$A140,$A140))</f>
        <v/>
      </c>
      <c r="J140" s="23" t="str">
        <f t="shared" si="5"/>
        <v/>
      </c>
    </row>
    <row r="141" spans="3:10" x14ac:dyDescent="0.3">
      <c r="C141" s="44"/>
      <c r="D141" s="44"/>
      <c r="E141" s="44"/>
      <c r="F141" s="44"/>
      <c r="G141" s="44"/>
      <c r="H141" s="22" t="str">
        <f t="shared" si="4"/>
        <v/>
      </c>
      <c r="I141" s="23" t="str">
        <f>IF($A141="","",$A141&amp;"#"&amp;COUNTIF($A$2:$A141,$A141))</f>
        <v/>
      </c>
      <c r="J141" s="23" t="str">
        <f t="shared" si="5"/>
        <v/>
      </c>
    </row>
    <row r="142" spans="3:10" x14ac:dyDescent="0.3">
      <c r="C142" s="44"/>
      <c r="D142" s="44"/>
      <c r="E142" s="44"/>
      <c r="F142" s="44"/>
      <c r="G142" s="44"/>
      <c r="H142" s="22" t="str">
        <f t="shared" si="4"/>
        <v/>
      </c>
      <c r="I142" s="23" t="str">
        <f>IF($A142="","",$A142&amp;"#"&amp;COUNTIF($A$2:$A142,$A142))</f>
        <v/>
      </c>
      <c r="J142" s="23" t="str">
        <f t="shared" si="5"/>
        <v/>
      </c>
    </row>
    <row r="143" spans="3:10" x14ac:dyDescent="0.3">
      <c r="C143" s="44"/>
      <c r="D143" s="44"/>
      <c r="E143" s="44"/>
      <c r="F143" s="44"/>
      <c r="G143" s="44"/>
      <c r="H143" s="22" t="str">
        <f t="shared" si="4"/>
        <v/>
      </c>
      <c r="I143" s="23" t="str">
        <f>IF($A143="","",$A143&amp;"#"&amp;COUNTIF($A$2:$A143,$A143))</f>
        <v/>
      </c>
      <c r="J143" s="23" t="str">
        <f t="shared" si="5"/>
        <v/>
      </c>
    </row>
    <row r="144" spans="3:10" x14ac:dyDescent="0.3">
      <c r="C144" s="44"/>
      <c r="D144" s="44"/>
      <c r="E144" s="44"/>
      <c r="F144" s="44"/>
      <c r="G144" s="44"/>
      <c r="H144" s="22" t="str">
        <f t="shared" si="4"/>
        <v/>
      </c>
      <c r="I144" s="23" t="str">
        <f>IF($A144="","",$A144&amp;"#"&amp;COUNTIF($A$2:$A144,$A144))</f>
        <v/>
      </c>
      <c r="J144" s="23" t="str">
        <f t="shared" si="5"/>
        <v/>
      </c>
    </row>
    <row r="145" spans="3:10" x14ac:dyDescent="0.3">
      <c r="C145" s="44"/>
      <c r="D145" s="44"/>
      <c r="E145" s="44"/>
      <c r="F145" s="44"/>
      <c r="G145" s="44"/>
      <c r="H145" s="22" t="str">
        <f t="shared" si="4"/>
        <v/>
      </c>
      <c r="I145" s="23" t="str">
        <f>IF($A145="","",$A145&amp;"#"&amp;COUNTIF($A$2:$A145,$A145))</f>
        <v/>
      </c>
      <c r="J145" s="23" t="str">
        <f t="shared" si="5"/>
        <v/>
      </c>
    </row>
    <row r="146" spans="3:10" x14ac:dyDescent="0.3">
      <c r="C146" s="44"/>
      <c r="D146" s="44"/>
      <c r="E146" s="44"/>
      <c r="F146" s="44"/>
      <c r="G146" s="44"/>
      <c r="H146" s="22" t="str">
        <f t="shared" si="4"/>
        <v/>
      </c>
      <c r="I146" s="23" t="str">
        <f>IF($A146="","",$A146&amp;"#"&amp;COUNTIF($A$2:$A146,$A146))</f>
        <v/>
      </c>
      <c r="J146" s="23" t="str">
        <f t="shared" si="5"/>
        <v/>
      </c>
    </row>
    <row r="147" spans="3:10" x14ac:dyDescent="0.3">
      <c r="C147" s="44"/>
      <c r="D147" s="44"/>
      <c r="E147" s="44"/>
      <c r="F147" s="44"/>
      <c r="G147" s="44"/>
      <c r="H147" s="22" t="str">
        <f t="shared" si="4"/>
        <v/>
      </c>
      <c r="I147" s="23" t="str">
        <f>IF($A147="","",$A147&amp;"#"&amp;COUNTIF($A$2:$A147,$A147))</f>
        <v/>
      </c>
      <c r="J147" s="23" t="str">
        <f t="shared" si="5"/>
        <v/>
      </c>
    </row>
    <row r="148" spans="3:10" x14ac:dyDescent="0.3">
      <c r="C148" s="44"/>
      <c r="D148" s="44"/>
      <c r="E148" s="44"/>
      <c r="F148" s="44"/>
      <c r="G148" s="44"/>
      <c r="H148" s="22" t="str">
        <f t="shared" si="4"/>
        <v/>
      </c>
      <c r="I148" s="23" t="str">
        <f>IF($A148="","",$A148&amp;"#"&amp;COUNTIF($A$2:$A148,$A148))</f>
        <v/>
      </c>
      <c r="J148" s="23" t="str">
        <f t="shared" si="5"/>
        <v/>
      </c>
    </row>
    <row r="149" spans="3:10" x14ac:dyDescent="0.3">
      <c r="C149" s="44"/>
      <c r="D149" s="44"/>
      <c r="E149" s="44"/>
      <c r="F149" s="44"/>
      <c r="G149" s="44"/>
      <c r="H149" s="22" t="str">
        <f t="shared" si="4"/>
        <v/>
      </c>
      <c r="I149" s="23" t="str">
        <f>IF($A149="","",$A149&amp;"#"&amp;COUNTIF($A$2:$A149,$A149))</f>
        <v/>
      </c>
      <c r="J149" s="23" t="str">
        <f t="shared" si="5"/>
        <v/>
      </c>
    </row>
    <row r="150" spans="3:10" x14ac:dyDescent="0.3">
      <c r="C150" s="44"/>
      <c r="D150" s="44"/>
      <c r="E150" s="44"/>
      <c r="F150" s="44"/>
      <c r="G150" s="44"/>
      <c r="H150" s="22" t="str">
        <f t="shared" si="4"/>
        <v/>
      </c>
      <c r="I150" s="23" t="str">
        <f>IF($A150="","",$A150&amp;"#"&amp;COUNTIF($A$2:$A150,$A150))</f>
        <v/>
      </c>
      <c r="J150" s="23" t="str">
        <f t="shared" si="5"/>
        <v/>
      </c>
    </row>
    <row r="151" spans="3:10" x14ac:dyDescent="0.3">
      <c r="C151" s="44"/>
      <c r="D151" s="44"/>
      <c r="E151" s="44"/>
      <c r="F151" s="44"/>
      <c r="G151" s="44"/>
      <c r="H151" s="22" t="str">
        <f t="shared" si="4"/>
        <v/>
      </c>
      <c r="I151" s="23" t="str">
        <f>IF($A151="","",$A151&amp;"#"&amp;COUNTIF($A$2:$A151,$A151))</f>
        <v/>
      </c>
      <c r="J151" s="23" t="str">
        <f t="shared" si="5"/>
        <v/>
      </c>
    </row>
    <row r="152" spans="3:10" x14ac:dyDescent="0.3">
      <c r="C152" s="44"/>
      <c r="D152" s="44"/>
      <c r="E152" s="44"/>
      <c r="F152" s="44"/>
      <c r="G152" s="44"/>
      <c r="H152" s="22" t="str">
        <f t="shared" si="4"/>
        <v/>
      </c>
      <c r="I152" s="23" t="str">
        <f>IF($A152="","",$A152&amp;"#"&amp;COUNTIF($A$2:$A152,$A152))</f>
        <v/>
      </c>
      <c r="J152" s="23" t="str">
        <f t="shared" si="5"/>
        <v/>
      </c>
    </row>
    <row r="153" spans="3:10" x14ac:dyDescent="0.3">
      <c r="C153" s="44"/>
      <c r="D153" s="44"/>
      <c r="E153" s="44"/>
      <c r="F153" s="44"/>
      <c r="G153" s="44"/>
      <c r="H153" s="22" t="str">
        <f t="shared" si="4"/>
        <v/>
      </c>
      <c r="I153" s="23" t="str">
        <f>IF($A153="","",$A153&amp;"#"&amp;COUNTIF($A$2:$A153,$A153))</f>
        <v/>
      </c>
      <c r="J153" s="23" t="str">
        <f t="shared" si="5"/>
        <v/>
      </c>
    </row>
    <row r="154" spans="3:10" x14ac:dyDescent="0.3">
      <c r="C154" s="44"/>
      <c r="D154" s="44"/>
      <c r="E154" s="44"/>
      <c r="F154" s="44"/>
      <c r="G154" s="44"/>
      <c r="H154" s="22" t="str">
        <f t="shared" si="4"/>
        <v/>
      </c>
      <c r="I154" s="23" t="str">
        <f>IF($A154="","",$A154&amp;"#"&amp;COUNTIF($A$2:$A154,$A154))</f>
        <v/>
      </c>
      <c r="J154" s="23" t="str">
        <f t="shared" si="5"/>
        <v/>
      </c>
    </row>
    <row r="155" spans="3:10" x14ac:dyDescent="0.3">
      <c r="C155" s="44"/>
      <c r="D155" s="44"/>
      <c r="E155" s="44"/>
      <c r="F155" s="44"/>
      <c r="G155" s="44"/>
      <c r="H155" s="22" t="str">
        <f t="shared" si="4"/>
        <v/>
      </c>
      <c r="I155" s="23" t="str">
        <f>IF($A155="","",$A155&amp;"#"&amp;COUNTIF($A$2:$A155,$A155))</f>
        <v/>
      </c>
      <c r="J155" s="23" t="str">
        <f t="shared" si="5"/>
        <v/>
      </c>
    </row>
    <row r="156" spans="3:10" x14ac:dyDescent="0.3">
      <c r="C156" s="44"/>
      <c r="D156" s="44"/>
      <c r="E156" s="44"/>
      <c r="F156" s="44"/>
      <c r="G156" s="44"/>
      <c r="H156" s="22" t="str">
        <f t="shared" si="4"/>
        <v/>
      </c>
      <c r="I156" s="23" t="str">
        <f>IF($A156="","",$A156&amp;"#"&amp;COUNTIF($A$2:$A156,$A156))</f>
        <v/>
      </c>
      <c r="J156" s="23" t="str">
        <f t="shared" si="5"/>
        <v/>
      </c>
    </row>
    <row r="157" spans="3:10" x14ac:dyDescent="0.3">
      <c r="C157" s="44"/>
      <c r="D157" s="44"/>
      <c r="E157" s="44"/>
      <c r="F157" s="44"/>
      <c r="G157" s="44"/>
      <c r="H157" s="22" t="str">
        <f t="shared" si="4"/>
        <v/>
      </c>
      <c r="I157" s="23" t="str">
        <f>IF($A157="","",$A157&amp;"#"&amp;COUNTIF($A$2:$A157,$A157))</f>
        <v/>
      </c>
      <c r="J157" s="23" t="str">
        <f t="shared" si="5"/>
        <v/>
      </c>
    </row>
    <row r="158" spans="3:10" x14ac:dyDescent="0.3">
      <c r="C158" s="44"/>
      <c r="D158" s="44"/>
      <c r="E158" s="44"/>
      <c r="F158" s="44"/>
      <c r="G158" s="44"/>
      <c r="H158" s="22" t="str">
        <f t="shared" si="4"/>
        <v/>
      </c>
      <c r="I158" s="23" t="str">
        <f>IF($A158="","",$A158&amp;"#"&amp;COUNTIF($A$2:$A158,$A158))</f>
        <v/>
      </c>
      <c r="J158" s="23" t="str">
        <f t="shared" si="5"/>
        <v/>
      </c>
    </row>
    <row r="159" spans="3:10" x14ac:dyDescent="0.3">
      <c r="C159" s="44"/>
      <c r="D159" s="44"/>
      <c r="E159" s="44"/>
      <c r="F159" s="44"/>
      <c r="G159" s="44"/>
      <c r="H159" s="22" t="str">
        <f t="shared" si="4"/>
        <v/>
      </c>
      <c r="I159" s="23" t="str">
        <f>IF($A159="","",$A159&amp;"#"&amp;COUNTIF($A$2:$A159,$A159))</f>
        <v/>
      </c>
      <c r="J159" s="23" t="str">
        <f t="shared" si="5"/>
        <v/>
      </c>
    </row>
    <row r="160" spans="3:10" x14ac:dyDescent="0.3">
      <c r="C160" s="44"/>
      <c r="D160" s="44"/>
      <c r="E160" s="44"/>
      <c r="F160" s="44"/>
      <c r="G160" s="44"/>
      <c r="H160" s="22" t="str">
        <f t="shared" si="4"/>
        <v/>
      </c>
      <c r="I160" s="23" t="str">
        <f>IF($A160="","",$A160&amp;"#"&amp;COUNTIF($A$2:$A160,$A160))</f>
        <v/>
      </c>
      <c r="J160" s="23" t="str">
        <f t="shared" si="5"/>
        <v/>
      </c>
    </row>
    <row r="161" spans="3:10" x14ac:dyDescent="0.3">
      <c r="C161" s="44"/>
      <c r="D161" s="44"/>
      <c r="E161" s="44"/>
      <c r="F161" s="44"/>
      <c r="G161" s="44"/>
      <c r="H161" s="22" t="str">
        <f t="shared" si="4"/>
        <v/>
      </c>
      <c r="I161" s="23" t="str">
        <f>IF($A161="","",$A161&amp;"#"&amp;COUNTIF($A$2:$A161,$A161))</f>
        <v/>
      </c>
      <c r="J161" s="23" t="str">
        <f t="shared" si="5"/>
        <v/>
      </c>
    </row>
    <row r="162" spans="3:10" x14ac:dyDescent="0.3">
      <c r="C162" s="44"/>
      <c r="D162" s="44"/>
      <c r="E162" s="44"/>
      <c r="F162" s="44"/>
      <c r="G162" s="44"/>
      <c r="H162" s="22" t="str">
        <f t="shared" si="4"/>
        <v/>
      </c>
      <c r="I162" s="23" t="str">
        <f>IF($A162="","",$A162&amp;"#"&amp;COUNTIF($A$2:$A162,$A162))</f>
        <v/>
      </c>
      <c r="J162" s="23" t="str">
        <f t="shared" si="5"/>
        <v/>
      </c>
    </row>
    <row r="163" spans="3:10" x14ac:dyDescent="0.3">
      <c r="C163" s="44"/>
      <c r="D163" s="44"/>
      <c r="E163" s="44"/>
      <c r="F163" s="44"/>
      <c r="G163" s="44"/>
      <c r="H163" s="22" t="str">
        <f t="shared" si="4"/>
        <v/>
      </c>
      <c r="I163" s="23" t="str">
        <f>IF($A163="","",$A163&amp;"#"&amp;COUNTIF($A$2:$A163,$A163))</f>
        <v/>
      </c>
      <c r="J163" s="23" t="str">
        <f t="shared" si="5"/>
        <v/>
      </c>
    </row>
    <row r="164" spans="3:10" x14ac:dyDescent="0.3">
      <c r="C164" s="44"/>
      <c r="D164" s="44"/>
      <c r="E164" s="44"/>
      <c r="F164" s="44"/>
      <c r="G164" s="44"/>
      <c r="H164" s="22" t="str">
        <f t="shared" si="4"/>
        <v/>
      </c>
      <c r="I164" s="23" t="str">
        <f>IF($A164="","",$A164&amp;"#"&amp;COUNTIF($A$2:$A164,$A164))</f>
        <v/>
      </c>
      <c r="J164" s="23" t="str">
        <f t="shared" si="5"/>
        <v/>
      </c>
    </row>
    <row r="165" spans="3:10" x14ac:dyDescent="0.3">
      <c r="C165" s="44"/>
      <c r="D165" s="44"/>
      <c r="E165" s="44"/>
      <c r="F165" s="44"/>
      <c r="G165" s="44"/>
      <c r="H165" s="22" t="str">
        <f t="shared" si="4"/>
        <v/>
      </c>
      <c r="I165" s="23" t="str">
        <f>IF($A165="","",$A165&amp;"#"&amp;COUNTIF($A$2:$A165,$A165))</f>
        <v/>
      </c>
      <c r="J165" s="23" t="str">
        <f t="shared" si="5"/>
        <v/>
      </c>
    </row>
    <row r="166" spans="3:10" x14ac:dyDescent="0.3">
      <c r="C166" s="44"/>
      <c r="D166" s="44"/>
      <c r="E166" s="44"/>
      <c r="F166" s="44"/>
      <c r="G166" s="44"/>
      <c r="H166" s="22" t="str">
        <f t="shared" si="4"/>
        <v/>
      </c>
      <c r="I166" s="23" t="str">
        <f>IF($A166="","",$A166&amp;"#"&amp;COUNTIF($A$2:$A166,$A166))</f>
        <v/>
      </c>
      <c r="J166" s="23" t="str">
        <f t="shared" si="5"/>
        <v/>
      </c>
    </row>
    <row r="167" spans="3:10" x14ac:dyDescent="0.3">
      <c r="C167" s="44"/>
      <c r="D167" s="44"/>
      <c r="E167" s="44"/>
      <c r="F167" s="44"/>
      <c r="G167" s="44"/>
      <c r="H167" s="22" t="str">
        <f t="shared" si="4"/>
        <v/>
      </c>
      <c r="I167" s="23" t="str">
        <f>IF($A167="","",$A167&amp;"#"&amp;COUNTIF($A$2:$A167,$A167))</f>
        <v/>
      </c>
      <c r="J167" s="23" t="str">
        <f t="shared" si="5"/>
        <v/>
      </c>
    </row>
    <row r="168" spans="3:10" x14ac:dyDescent="0.3">
      <c r="C168" s="44"/>
      <c r="D168" s="44"/>
      <c r="E168" s="44"/>
      <c r="F168" s="44"/>
      <c r="G168" s="44"/>
      <c r="H168" s="22" t="str">
        <f t="shared" si="4"/>
        <v/>
      </c>
      <c r="I168" s="23" t="str">
        <f>IF($A168="","",$A168&amp;"#"&amp;COUNTIF($A$2:$A168,$A168))</f>
        <v/>
      </c>
      <c r="J168" s="23" t="str">
        <f t="shared" si="5"/>
        <v/>
      </c>
    </row>
    <row r="169" spans="3:10" x14ac:dyDescent="0.3">
      <c r="C169" s="44"/>
      <c r="D169" s="44"/>
      <c r="E169" s="44"/>
      <c r="F169" s="44"/>
      <c r="G169" s="44"/>
      <c r="H169" s="22" t="str">
        <f t="shared" si="4"/>
        <v/>
      </c>
      <c r="I169" s="23" t="str">
        <f>IF($A169="","",$A169&amp;"#"&amp;COUNTIF($A$2:$A169,$A169))</f>
        <v/>
      </c>
      <c r="J169" s="23" t="str">
        <f t="shared" si="5"/>
        <v/>
      </c>
    </row>
    <row r="170" spans="3:10" x14ac:dyDescent="0.3">
      <c r="C170" s="44"/>
      <c r="D170" s="44"/>
      <c r="E170" s="44"/>
      <c r="F170" s="44"/>
      <c r="G170" s="44"/>
      <c r="H170" s="22" t="str">
        <f t="shared" si="4"/>
        <v/>
      </c>
      <c r="I170" s="23" t="str">
        <f>IF($A170="","",$A170&amp;"#"&amp;COUNTIF($A$2:$A170,$A170))</f>
        <v/>
      </c>
      <c r="J170" s="23" t="str">
        <f t="shared" si="5"/>
        <v/>
      </c>
    </row>
    <row r="171" spans="3:10" x14ac:dyDescent="0.3">
      <c r="C171" s="44"/>
      <c r="D171" s="44"/>
      <c r="E171" s="44"/>
      <c r="F171" s="44"/>
      <c r="G171" s="44"/>
      <c r="H171" s="22" t="str">
        <f t="shared" si="4"/>
        <v/>
      </c>
      <c r="I171" s="23" t="str">
        <f>IF($A171="","",$A171&amp;"#"&amp;COUNTIF($A$2:$A171,$A171))</f>
        <v/>
      </c>
      <c r="J171" s="23" t="str">
        <f t="shared" si="5"/>
        <v/>
      </c>
    </row>
    <row r="172" spans="3:10" x14ac:dyDescent="0.3">
      <c r="C172" s="44"/>
      <c r="D172" s="44"/>
      <c r="E172" s="44"/>
      <c r="F172" s="44"/>
      <c r="G172" s="44"/>
      <c r="H172" s="22" t="str">
        <f t="shared" si="4"/>
        <v/>
      </c>
      <c r="I172" s="23" t="str">
        <f>IF($A172="","",$A172&amp;"#"&amp;COUNTIF($A$2:$A172,$A172))</f>
        <v/>
      </c>
      <c r="J172" s="23" t="str">
        <f t="shared" si="5"/>
        <v/>
      </c>
    </row>
    <row r="173" spans="3:10" x14ac:dyDescent="0.3">
      <c r="C173" s="44"/>
      <c r="D173" s="44"/>
      <c r="E173" s="44"/>
      <c r="F173" s="44"/>
      <c r="G173" s="44"/>
      <c r="H173" s="22" t="str">
        <f t="shared" si="4"/>
        <v/>
      </c>
      <c r="I173" s="23" t="str">
        <f>IF($A173="","",$A173&amp;"#"&amp;COUNTIF($A$2:$A173,$A173))</f>
        <v/>
      </c>
      <c r="J173" s="23" t="str">
        <f t="shared" si="5"/>
        <v/>
      </c>
    </row>
    <row r="174" spans="3:10" x14ac:dyDescent="0.3">
      <c r="C174" s="44"/>
      <c r="D174" s="44"/>
      <c r="E174" s="44"/>
      <c r="F174" s="44"/>
      <c r="G174" s="44"/>
      <c r="H174" s="22" t="str">
        <f t="shared" si="4"/>
        <v/>
      </c>
      <c r="I174" s="23" t="str">
        <f>IF($A174="","",$A174&amp;"#"&amp;COUNTIF($A$2:$A174,$A174))</f>
        <v/>
      </c>
      <c r="J174" s="23" t="str">
        <f t="shared" si="5"/>
        <v/>
      </c>
    </row>
    <row r="175" spans="3:10" x14ac:dyDescent="0.3">
      <c r="C175" s="44"/>
      <c r="D175" s="44"/>
      <c r="E175" s="44"/>
      <c r="F175" s="44"/>
      <c r="G175" s="44"/>
      <c r="H175" s="22" t="str">
        <f t="shared" si="4"/>
        <v/>
      </c>
      <c r="I175" s="23" t="str">
        <f>IF($A175="","",$A175&amp;"#"&amp;COUNTIF($A$2:$A175,$A175))</f>
        <v/>
      </c>
      <c r="J175" s="23" t="str">
        <f t="shared" si="5"/>
        <v/>
      </c>
    </row>
    <row r="176" spans="3:10" x14ac:dyDescent="0.3">
      <c r="C176" s="44"/>
      <c r="D176" s="44"/>
      <c r="E176" s="44"/>
      <c r="F176" s="44"/>
      <c r="G176" s="44"/>
      <c r="H176" s="22" t="str">
        <f t="shared" si="4"/>
        <v/>
      </c>
      <c r="I176" s="23" t="str">
        <f>IF($A176="","",$A176&amp;"#"&amp;COUNTIF($A$2:$A176,$A176))</f>
        <v/>
      </c>
      <c r="J176" s="23" t="str">
        <f t="shared" si="5"/>
        <v/>
      </c>
    </row>
    <row r="177" spans="3:10" x14ac:dyDescent="0.3">
      <c r="C177" s="44"/>
      <c r="D177" s="44"/>
      <c r="E177" s="44"/>
      <c r="F177" s="44"/>
      <c r="G177" s="44"/>
      <c r="H177" s="22" t="str">
        <f t="shared" si="4"/>
        <v/>
      </c>
      <c r="I177" s="23" t="str">
        <f>IF($A177="","",$A177&amp;"#"&amp;COUNTIF($A$2:$A177,$A177))</f>
        <v/>
      </c>
      <c r="J177" s="23" t="str">
        <f t="shared" si="5"/>
        <v/>
      </c>
    </row>
    <row r="178" spans="3:10" x14ac:dyDescent="0.3">
      <c r="C178" s="44"/>
      <c r="D178" s="44"/>
      <c r="E178" s="44"/>
      <c r="F178" s="44"/>
      <c r="G178" s="44"/>
      <c r="H178" s="22" t="str">
        <f t="shared" si="4"/>
        <v/>
      </c>
      <c r="I178" s="23" t="str">
        <f>IF($A178="","",$A178&amp;"#"&amp;COUNTIF($A$2:$A178,$A178))</f>
        <v/>
      </c>
      <c r="J178" s="23" t="str">
        <f t="shared" si="5"/>
        <v/>
      </c>
    </row>
    <row r="179" spans="3:10" x14ac:dyDescent="0.3">
      <c r="C179" s="44"/>
      <c r="D179" s="44"/>
      <c r="E179" s="44"/>
      <c r="F179" s="44"/>
      <c r="G179" s="44"/>
      <c r="H179" s="22" t="str">
        <f t="shared" si="4"/>
        <v/>
      </c>
      <c r="I179" s="23" t="str">
        <f>IF($A179="","",$A179&amp;"#"&amp;COUNTIF($A$2:$A179,$A179))</f>
        <v/>
      </c>
      <c r="J179" s="23" t="str">
        <f t="shared" si="5"/>
        <v/>
      </c>
    </row>
    <row r="180" spans="3:10" x14ac:dyDescent="0.3">
      <c r="C180" s="44"/>
      <c r="D180" s="44"/>
      <c r="E180" s="44"/>
      <c r="F180" s="44"/>
      <c r="G180" s="44"/>
      <c r="H180" s="22" t="str">
        <f t="shared" si="4"/>
        <v/>
      </c>
      <c r="I180" s="23" t="str">
        <f>IF($A180="","",$A180&amp;"#"&amp;COUNTIF($A$2:$A180,$A180))</f>
        <v/>
      </c>
      <c r="J180" s="23" t="str">
        <f t="shared" si="5"/>
        <v/>
      </c>
    </row>
    <row r="181" spans="3:10" x14ac:dyDescent="0.3">
      <c r="C181" s="44"/>
      <c r="D181" s="44"/>
      <c r="E181" s="44"/>
      <c r="F181" s="44"/>
      <c r="G181" s="44"/>
      <c r="H181" s="22" t="str">
        <f t="shared" si="4"/>
        <v/>
      </c>
      <c r="I181" s="23" t="str">
        <f>IF($A181="","",$A181&amp;"#"&amp;COUNTIF($A$2:$A181,$A181))</f>
        <v/>
      </c>
      <c r="J181" s="23" t="str">
        <f t="shared" si="5"/>
        <v/>
      </c>
    </row>
    <row r="182" spans="3:10" x14ac:dyDescent="0.3">
      <c r="C182" s="44"/>
      <c r="D182" s="44"/>
      <c r="E182" s="44"/>
      <c r="F182" s="44"/>
      <c r="G182" s="44"/>
      <c r="H182" s="22" t="str">
        <f t="shared" si="4"/>
        <v/>
      </c>
      <c r="I182" s="23" t="str">
        <f>IF($A182="","",$A182&amp;"#"&amp;COUNTIF($A$2:$A182,$A182))</f>
        <v/>
      </c>
      <c r="J182" s="23" t="str">
        <f t="shared" si="5"/>
        <v/>
      </c>
    </row>
    <row r="183" spans="3:10" x14ac:dyDescent="0.3">
      <c r="C183" s="44"/>
      <c r="D183" s="44"/>
      <c r="E183" s="44"/>
      <c r="F183" s="44"/>
      <c r="G183" s="44"/>
      <c r="H183" s="22" t="str">
        <f t="shared" si="4"/>
        <v/>
      </c>
      <c r="I183" s="23" t="str">
        <f>IF($A183="","",$A183&amp;"#"&amp;COUNTIF($A$2:$A183,$A183))</f>
        <v/>
      </c>
      <c r="J183" s="23" t="str">
        <f t="shared" si="5"/>
        <v/>
      </c>
    </row>
    <row r="184" spans="3:10" x14ac:dyDescent="0.3">
      <c r="C184" s="44"/>
      <c r="D184" s="44"/>
      <c r="E184" s="44"/>
      <c r="F184" s="44"/>
      <c r="G184" s="44"/>
      <c r="H184" s="22" t="str">
        <f t="shared" si="4"/>
        <v/>
      </c>
      <c r="I184" s="23" t="str">
        <f>IF($A184="","",$A184&amp;"#"&amp;COUNTIF($A$2:$A184,$A184))</f>
        <v/>
      </c>
      <c r="J184" s="23" t="str">
        <f t="shared" si="5"/>
        <v/>
      </c>
    </row>
    <row r="185" spans="3:10" x14ac:dyDescent="0.3">
      <c r="C185" s="44"/>
      <c r="D185" s="44"/>
      <c r="E185" s="44"/>
      <c r="F185" s="44"/>
      <c r="G185" s="44"/>
      <c r="H185" s="22" t="str">
        <f t="shared" si="4"/>
        <v/>
      </c>
      <c r="I185" s="23" t="str">
        <f>IF($A185="","",$A185&amp;"#"&amp;COUNTIF($A$2:$A185,$A185))</f>
        <v/>
      </c>
      <c r="J185" s="23" t="str">
        <f t="shared" si="5"/>
        <v/>
      </c>
    </row>
    <row r="186" spans="3:10" x14ac:dyDescent="0.3">
      <c r="C186" s="44"/>
      <c r="D186" s="44"/>
      <c r="E186" s="44"/>
      <c r="F186" s="44"/>
      <c r="G186" s="44"/>
      <c r="H186" s="22" t="str">
        <f t="shared" si="4"/>
        <v/>
      </c>
      <c r="I186" s="23" t="str">
        <f>IF($A186="","",$A186&amp;"#"&amp;COUNTIF($A$2:$A186,$A186))</f>
        <v/>
      </c>
      <c r="J186" s="23" t="str">
        <f t="shared" si="5"/>
        <v/>
      </c>
    </row>
    <row r="187" spans="3:10" x14ac:dyDescent="0.3">
      <c r="C187" s="44"/>
      <c r="D187" s="44"/>
      <c r="E187" s="44"/>
      <c r="F187" s="44"/>
      <c r="G187" s="44"/>
      <c r="H187" s="22" t="str">
        <f t="shared" si="4"/>
        <v/>
      </c>
      <c r="I187" s="23" t="str">
        <f>IF($A187="","",$A187&amp;"#"&amp;COUNTIF($A$2:$A187,$A187))</f>
        <v/>
      </c>
      <c r="J187" s="23" t="str">
        <f t="shared" si="5"/>
        <v/>
      </c>
    </row>
    <row r="188" spans="3:10" x14ac:dyDescent="0.3">
      <c r="C188" s="44"/>
      <c r="D188" s="44"/>
      <c r="E188" s="44"/>
      <c r="F188" s="44"/>
      <c r="G188" s="44"/>
      <c r="H188" s="22" t="str">
        <f t="shared" si="4"/>
        <v/>
      </c>
      <c r="I188" s="23" t="str">
        <f>IF($A188="","",$A188&amp;"#"&amp;COUNTIF($A$2:$A188,$A188))</f>
        <v/>
      </c>
      <c r="J188" s="23" t="str">
        <f t="shared" si="5"/>
        <v/>
      </c>
    </row>
    <row r="189" spans="3:10" x14ac:dyDescent="0.3">
      <c r="C189" s="44"/>
      <c r="D189" s="44"/>
      <c r="E189" s="44"/>
      <c r="F189" s="44"/>
      <c r="G189" s="44"/>
      <c r="H189" s="22" t="str">
        <f t="shared" si="4"/>
        <v/>
      </c>
      <c r="I189" s="23" t="str">
        <f>IF($A189="","",$A189&amp;"#"&amp;COUNTIF($A$2:$A189,$A189))</f>
        <v/>
      </c>
      <c r="J189" s="23" t="str">
        <f t="shared" si="5"/>
        <v/>
      </c>
    </row>
    <row r="190" spans="3:10" x14ac:dyDescent="0.3">
      <c r="C190" s="44"/>
      <c r="D190" s="44"/>
      <c r="E190" s="44"/>
      <c r="F190" s="44"/>
      <c r="G190" s="44"/>
      <c r="H190" s="22" t="str">
        <f t="shared" si="4"/>
        <v/>
      </c>
      <c r="I190" s="23" t="str">
        <f>IF($A190="","",$A190&amp;"#"&amp;COUNTIF($A$2:$A190,$A190))</f>
        <v/>
      </c>
      <c r="J190" s="23" t="str">
        <f t="shared" si="5"/>
        <v/>
      </c>
    </row>
    <row r="191" spans="3:10" x14ac:dyDescent="0.3">
      <c r="C191" s="44"/>
      <c r="D191" s="44"/>
      <c r="E191" s="44"/>
      <c r="F191" s="44"/>
      <c r="G191" s="44"/>
      <c r="H191" s="22" t="str">
        <f t="shared" si="4"/>
        <v/>
      </c>
      <c r="I191" s="23" t="str">
        <f>IF($A191="","",$A191&amp;"#"&amp;COUNTIF($A$2:$A191,$A191))</f>
        <v/>
      </c>
      <c r="J191" s="23" t="str">
        <f t="shared" si="5"/>
        <v/>
      </c>
    </row>
    <row r="192" spans="3:10" x14ac:dyDescent="0.3">
      <c r="C192" s="44"/>
      <c r="D192" s="44"/>
      <c r="E192" s="44"/>
      <c r="F192" s="44"/>
      <c r="G192" s="44"/>
      <c r="H192" s="22" t="str">
        <f t="shared" si="4"/>
        <v/>
      </c>
      <c r="I192" s="23" t="str">
        <f>IF($A192="","",$A192&amp;"#"&amp;COUNTIF($A$2:$A192,$A192))</f>
        <v/>
      </c>
      <c r="J192" s="23" t="str">
        <f t="shared" si="5"/>
        <v/>
      </c>
    </row>
    <row r="193" spans="3:10" x14ac:dyDescent="0.3">
      <c r="C193" s="44"/>
      <c r="D193" s="44"/>
      <c r="E193" s="44"/>
      <c r="F193" s="44"/>
      <c r="G193" s="44"/>
      <c r="H193" s="22" t="str">
        <f t="shared" si="4"/>
        <v/>
      </c>
      <c r="I193" s="23" t="str">
        <f>IF($A193="","",$A193&amp;"#"&amp;COUNTIF($A$2:$A193,$A193))</f>
        <v/>
      </c>
      <c r="J193" s="23" t="str">
        <f t="shared" si="5"/>
        <v/>
      </c>
    </row>
    <row r="194" spans="3:10" x14ac:dyDescent="0.3">
      <c r="C194" s="44"/>
      <c r="D194" s="44"/>
      <c r="E194" s="44"/>
      <c r="F194" s="44"/>
      <c r="G194" s="44"/>
      <c r="H194" s="22" t="str">
        <f t="shared" ref="H194:H257" si="6">IF($A194="","",CHOOSE(WEEKDAY($A194,2),"Δευ","Τρί","Τετ","Πέμ","Παρ","Σάβ","Κυρ"))</f>
        <v/>
      </c>
      <c r="I194" s="23" t="str">
        <f>IF($A194="","",$A194&amp;"#"&amp;COUNTIF($A$2:$A194,$A194))</f>
        <v/>
      </c>
      <c r="J194" s="23" t="str">
        <f t="shared" ref="J194:J257" si="7">IF($A194="","",IF($B194="","",$B194&amp;"  ")&amp;$C194&amp;IF($E194="","","  ("&amp;$E194&amp;")"))</f>
        <v/>
      </c>
    </row>
    <row r="195" spans="3:10" x14ac:dyDescent="0.3">
      <c r="C195" s="44"/>
      <c r="D195" s="44"/>
      <c r="E195" s="44"/>
      <c r="F195" s="44"/>
      <c r="G195" s="44"/>
      <c r="H195" s="22" t="str">
        <f t="shared" si="6"/>
        <v/>
      </c>
      <c r="I195" s="23" t="str">
        <f>IF($A195="","",$A195&amp;"#"&amp;COUNTIF($A$2:$A195,$A195))</f>
        <v/>
      </c>
      <c r="J195" s="23" t="str">
        <f t="shared" si="7"/>
        <v/>
      </c>
    </row>
    <row r="196" spans="3:10" x14ac:dyDescent="0.3">
      <c r="C196" s="44"/>
      <c r="D196" s="44"/>
      <c r="E196" s="44"/>
      <c r="F196" s="44"/>
      <c r="G196" s="44"/>
      <c r="H196" s="22" t="str">
        <f t="shared" si="6"/>
        <v/>
      </c>
      <c r="I196" s="23" t="str">
        <f>IF($A196="","",$A196&amp;"#"&amp;COUNTIF($A$2:$A196,$A196))</f>
        <v/>
      </c>
      <c r="J196" s="23" t="str">
        <f t="shared" si="7"/>
        <v/>
      </c>
    </row>
    <row r="197" spans="3:10" x14ac:dyDescent="0.3">
      <c r="C197" s="44"/>
      <c r="D197" s="44"/>
      <c r="E197" s="44"/>
      <c r="F197" s="44"/>
      <c r="G197" s="44"/>
      <c r="H197" s="22" t="str">
        <f t="shared" si="6"/>
        <v/>
      </c>
      <c r="I197" s="23" t="str">
        <f>IF($A197="","",$A197&amp;"#"&amp;COUNTIF($A$2:$A197,$A197))</f>
        <v/>
      </c>
      <c r="J197" s="23" t="str">
        <f t="shared" si="7"/>
        <v/>
      </c>
    </row>
    <row r="198" spans="3:10" x14ac:dyDescent="0.3">
      <c r="C198" s="44"/>
      <c r="D198" s="44"/>
      <c r="E198" s="44"/>
      <c r="F198" s="44"/>
      <c r="G198" s="44"/>
      <c r="H198" s="22" t="str">
        <f t="shared" si="6"/>
        <v/>
      </c>
      <c r="I198" s="23" t="str">
        <f>IF($A198="","",$A198&amp;"#"&amp;COUNTIF($A$2:$A198,$A198))</f>
        <v/>
      </c>
      <c r="J198" s="23" t="str">
        <f t="shared" si="7"/>
        <v/>
      </c>
    </row>
    <row r="199" spans="3:10" x14ac:dyDescent="0.3">
      <c r="C199" s="44"/>
      <c r="D199" s="44"/>
      <c r="E199" s="44"/>
      <c r="F199" s="44"/>
      <c r="G199" s="44"/>
      <c r="H199" s="22" t="str">
        <f t="shared" si="6"/>
        <v/>
      </c>
      <c r="I199" s="23" t="str">
        <f>IF($A199="","",$A199&amp;"#"&amp;COUNTIF($A$2:$A199,$A199))</f>
        <v/>
      </c>
      <c r="J199" s="23" t="str">
        <f t="shared" si="7"/>
        <v/>
      </c>
    </row>
    <row r="200" spans="3:10" x14ac:dyDescent="0.3">
      <c r="C200" s="44"/>
      <c r="D200" s="44"/>
      <c r="E200" s="44"/>
      <c r="F200" s="44"/>
      <c r="G200" s="44"/>
      <c r="H200" s="22" t="str">
        <f t="shared" si="6"/>
        <v/>
      </c>
      <c r="I200" s="23" t="str">
        <f>IF($A200="","",$A200&amp;"#"&amp;COUNTIF($A$2:$A200,$A200))</f>
        <v/>
      </c>
      <c r="J200" s="23" t="str">
        <f t="shared" si="7"/>
        <v/>
      </c>
    </row>
    <row r="201" spans="3:10" x14ac:dyDescent="0.3">
      <c r="C201" s="44"/>
      <c r="D201" s="44"/>
      <c r="E201" s="44"/>
      <c r="F201" s="44"/>
      <c r="G201" s="44"/>
      <c r="H201" s="22" t="str">
        <f t="shared" si="6"/>
        <v/>
      </c>
      <c r="I201" s="23" t="str">
        <f>IF($A201="","",$A201&amp;"#"&amp;COUNTIF($A$2:$A201,$A201))</f>
        <v/>
      </c>
      <c r="J201" s="23" t="str">
        <f t="shared" si="7"/>
        <v/>
      </c>
    </row>
    <row r="202" spans="3:10" x14ac:dyDescent="0.3">
      <c r="C202" s="44"/>
      <c r="D202" s="44"/>
      <c r="E202" s="44"/>
      <c r="F202" s="44"/>
      <c r="G202" s="44"/>
      <c r="H202" s="22" t="str">
        <f t="shared" si="6"/>
        <v/>
      </c>
      <c r="I202" s="23" t="str">
        <f>IF($A202="","",$A202&amp;"#"&amp;COUNTIF($A$2:$A202,$A202))</f>
        <v/>
      </c>
      <c r="J202" s="23" t="str">
        <f t="shared" si="7"/>
        <v/>
      </c>
    </row>
    <row r="203" spans="3:10" x14ac:dyDescent="0.3">
      <c r="C203" s="44"/>
      <c r="D203" s="44"/>
      <c r="E203" s="44"/>
      <c r="F203" s="44"/>
      <c r="G203" s="44"/>
      <c r="H203" s="22" t="str">
        <f t="shared" si="6"/>
        <v/>
      </c>
      <c r="I203" s="23" t="str">
        <f>IF($A203="","",$A203&amp;"#"&amp;COUNTIF($A$2:$A203,$A203))</f>
        <v/>
      </c>
      <c r="J203" s="23" t="str">
        <f t="shared" si="7"/>
        <v/>
      </c>
    </row>
    <row r="204" spans="3:10" x14ac:dyDescent="0.3">
      <c r="C204" s="44"/>
      <c r="D204" s="44"/>
      <c r="E204" s="44"/>
      <c r="F204" s="44"/>
      <c r="G204" s="44"/>
      <c r="H204" s="22" t="str">
        <f t="shared" si="6"/>
        <v/>
      </c>
      <c r="I204" s="23" t="str">
        <f>IF($A204="","",$A204&amp;"#"&amp;COUNTIF($A$2:$A204,$A204))</f>
        <v/>
      </c>
      <c r="J204" s="23" t="str">
        <f t="shared" si="7"/>
        <v/>
      </c>
    </row>
    <row r="205" spans="3:10" x14ac:dyDescent="0.3">
      <c r="C205" s="44"/>
      <c r="D205" s="44"/>
      <c r="E205" s="44"/>
      <c r="F205" s="44"/>
      <c r="G205" s="44"/>
      <c r="H205" s="22" t="str">
        <f t="shared" si="6"/>
        <v/>
      </c>
      <c r="I205" s="23" t="str">
        <f>IF($A205="","",$A205&amp;"#"&amp;COUNTIF($A$2:$A205,$A205))</f>
        <v/>
      </c>
      <c r="J205" s="23" t="str">
        <f t="shared" si="7"/>
        <v/>
      </c>
    </row>
    <row r="206" spans="3:10" x14ac:dyDescent="0.3">
      <c r="C206" s="44"/>
      <c r="D206" s="44"/>
      <c r="E206" s="44"/>
      <c r="F206" s="44"/>
      <c r="G206" s="44"/>
      <c r="H206" s="22" t="str">
        <f t="shared" si="6"/>
        <v/>
      </c>
      <c r="I206" s="23" t="str">
        <f>IF($A206="","",$A206&amp;"#"&amp;COUNTIF($A$2:$A206,$A206))</f>
        <v/>
      </c>
      <c r="J206" s="23" t="str">
        <f t="shared" si="7"/>
        <v/>
      </c>
    </row>
    <row r="207" spans="3:10" x14ac:dyDescent="0.3">
      <c r="C207" s="44"/>
      <c r="D207" s="44"/>
      <c r="E207" s="44"/>
      <c r="F207" s="44"/>
      <c r="G207" s="44"/>
      <c r="H207" s="22" t="str">
        <f t="shared" si="6"/>
        <v/>
      </c>
      <c r="I207" s="23" t="str">
        <f>IF($A207="","",$A207&amp;"#"&amp;COUNTIF($A$2:$A207,$A207))</f>
        <v/>
      </c>
      <c r="J207" s="23" t="str">
        <f t="shared" si="7"/>
        <v/>
      </c>
    </row>
    <row r="208" spans="3:10" x14ac:dyDescent="0.3">
      <c r="C208" s="44"/>
      <c r="D208" s="44"/>
      <c r="E208" s="44"/>
      <c r="F208" s="44"/>
      <c r="G208" s="44"/>
      <c r="H208" s="22" t="str">
        <f t="shared" si="6"/>
        <v/>
      </c>
      <c r="I208" s="23" t="str">
        <f>IF($A208="","",$A208&amp;"#"&amp;COUNTIF($A$2:$A208,$A208))</f>
        <v/>
      </c>
      <c r="J208" s="23" t="str">
        <f t="shared" si="7"/>
        <v/>
      </c>
    </row>
    <row r="209" spans="3:10" x14ac:dyDescent="0.3">
      <c r="C209" s="44"/>
      <c r="D209" s="44"/>
      <c r="E209" s="44"/>
      <c r="F209" s="44"/>
      <c r="G209" s="44"/>
      <c r="H209" s="22" t="str">
        <f t="shared" si="6"/>
        <v/>
      </c>
      <c r="I209" s="23" t="str">
        <f>IF($A209="","",$A209&amp;"#"&amp;COUNTIF($A$2:$A209,$A209))</f>
        <v/>
      </c>
      <c r="J209" s="23" t="str">
        <f t="shared" si="7"/>
        <v/>
      </c>
    </row>
    <row r="210" spans="3:10" x14ac:dyDescent="0.3">
      <c r="C210" s="44"/>
      <c r="D210" s="44"/>
      <c r="E210" s="44"/>
      <c r="F210" s="44"/>
      <c r="G210" s="44"/>
      <c r="H210" s="22" t="str">
        <f t="shared" si="6"/>
        <v/>
      </c>
      <c r="I210" s="23" t="str">
        <f>IF($A210="","",$A210&amp;"#"&amp;COUNTIF($A$2:$A210,$A210))</f>
        <v/>
      </c>
      <c r="J210" s="23" t="str">
        <f t="shared" si="7"/>
        <v/>
      </c>
    </row>
    <row r="211" spans="3:10" x14ac:dyDescent="0.3">
      <c r="C211" s="44"/>
      <c r="D211" s="44"/>
      <c r="E211" s="44"/>
      <c r="F211" s="44"/>
      <c r="G211" s="44"/>
      <c r="H211" s="22" t="str">
        <f t="shared" si="6"/>
        <v/>
      </c>
      <c r="I211" s="23" t="str">
        <f>IF($A211="","",$A211&amp;"#"&amp;COUNTIF($A$2:$A211,$A211))</f>
        <v/>
      </c>
      <c r="J211" s="23" t="str">
        <f t="shared" si="7"/>
        <v/>
      </c>
    </row>
    <row r="212" spans="3:10" x14ac:dyDescent="0.3">
      <c r="C212" s="44"/>
      <c r="D212" s="44"/>
      <c r="E212" s="44"/>
      <c r="F212" s="44"/>
      <c r="G212" s="44"/>
      <c r="H212" s="22" t="str">
        <f t="shared" si="6"/>
        <v/>
      </c>
      <c r="I212" s="23" t="str">
        <f>IF($A212="","",$A212&amp;"#"&amp;COUNTIF($A$2:$A212,$A212))</f>
        <v/>
      </c>
      <c r="J212" s="23" t="str">
        <f t="shared" si="7"/>
        <v/>
      </c>
    </row>
    <row r="213" spans="3:10" x14ac:dyDescent="0.3">
      <c r="C213" s="44"/>
      <c r="D213" s="44"/>
      <c r="E213" s="44"/>
      <c r="F213" s="44"/>
      <c r="G213" s="44"/>
      <c r="H213" s="22" t="str">
        <f t="shared" si="6"/>
        <v/>
      </c>
      <c r="I213" s="23" t="str">
        <f>IF($A213="","",$A213&amp;"#"&amp;COUNTIF($A$2:$A213,$A213))</f>
        <v/>
      </c>
      <c r="J213" s="23" t="str">
        <f t="shared" si="7"/>
        <v/>
      </c>
    </row>
    <row r="214" spans="3:10" x14ac:dyDescent="0.3">
      <c r="C214" s="44"/>
      <c r="D214" s="44"/>
      <c r="E214" s="44"/>
      <c r="F214" s="44"/>
      <c r="G214" s="44"/>
      <c r="H214" s="22" t="str">
        <f t="shared" si="6"/>
        <v/>
      </c>
      <c r="I214" s="23" t="str">
        <f>IF($A214="","",$A214&amp;"#"&amp;COUNTIF($A$2:$A214,$A214))</f>
        <v/>
      </c>
      <c r="J214" s="23" t="str">
        <f t="shared" si="7"/>
        <v/>
      </c>
    </row>
    <row r="215" spans="3:10" x14ac:dyDescent="0.3">
      <c r="C215" s="44"/>
      <c r="D215" s="44"/>
      <c r="E215" s="44"/>
      <c r="F215" s="44"/>
      <c r="G215" s="44"/>
      <c r="H215" s="22" t="str">
        <f t="shared" si="6"/>
        <v/>
      </c>
      <c r="I215" s="23" t="str">
        <f>IF($A215="","",$A215&amp;"#"&amp;COUNTIF($A$2:$A215,$A215))</f>
        <v/>
      </c>
      <c r="J215" s="23" t="str">
        <f t="shared" si="7"/>
        <v/>
      </c>
    </row>
    <row r="216" spans="3:10" x14ac:dyDescent="0.3">
      <c r="C216" s="44"/>
      <c r="D216" s="44"/>
      <c r="E216" s="44"/>
      <c r="F216" s="44"/>
      <c r="G216" s="44"/>
      <c r="H216" s="22" t="str">
        <f t="shared" si="6"/>
        <v/>
      </c>
      <c r="I216" s="23" t="str">
        <f>IF($A216="","",$A216&amp;"#"&amp;COUNTIF($A$2:$A216,$A216))</f>
        <v/>
      </c>
      <c r="J216" s="23" t="str">
        <f t="shared" si="7"/>
        <v/>
      </c>
    </row>
    <row r="217" spans="3:10" x14ac:dyDescent="0.3">
      <c r="C217" s="44"/>
      <c r="D217" s="44"/>
      <c r="E217" s="44"/>
      <c r="F217" s="44"/>
      <c r="G217" s="44"/>
      <c r="H217" s="22" t="str">
        <f t="shared" si="6"/>
        <v/>
      </c>
      <c r="I217" s="23" t="str">
        <f>IF($A217="","",$A217&amp;"#"&amp;COUNTIF($A$2:$A217,$A217))</f>
        <v/>
      </c>
      <c r="J217" s="23" t="str">
        <f t="shared" si="7"/>
        <v/>
      </c>
    </row>
    <row r="218" spans="3:10" x14ac:dyDescent="0.3">
      <c r="C218" s="44"/>
      <c r="D218" s="44"/>
      <c r="E218" s="44"/>
      <c r="F218" s="44"/>
      <c r="G218" s="44"/>
      <c r="H218" s="22" t="str">
        <f t="shared" si="6"/>
        <v/>
      </c>
      <c r="I218" s="23" t="str">
        <f>IF($A218="","",$A218&amp;"#"&amp;COUNTIF($A$2:$A218,$A218))</f>
        <v/>
      </c>
      <c r="J218" s="23" t="str">
        <f t="shared" si="7"/>
        <v/>
      </c>
    </row>
    <row r="219" spans="3:10" x14ac:dyDescent="0.3">
      <c r="C219" s="44"/>
      <c r="D219" s="44"/>
      <c r="E219" s="44"/>
      <c r="F219" s="44"/>
      <c r="G219" s="44"/>
      <c r="H219" s="22" t="str">
        <f t="shared" si="6"/>
        <v/>
      </c>
      <c r="I219" s="23" t="str">
        <f>IF($A219="","",$A219&amp;"#"&amp;COUNTIF($A$2:$A219,$A219))</f>
        <v/>
      </c>
      <c r="J219" s="23" t="str">
        <f t="shared" si="7"/>
        <v/>
      </c>
    </row>
    <row r="220" spans="3:10" x14ac:dyDescent="0.3">
      <c r="C220" s="44"/>
      <c r="D220" s="44"/>
      <c r="E220" s="44"/>
      <c r="F220" s="44"/>
      <c r="G220" s="44"/>
      <c r="H220" s="22" t="str">
        <f t="shared" si="6"/>
        <v/>
      </c>
      <c r="I220" s="23" t="str">
        <f>IF($A220="","",$A220&amp;"#"&amp;COUNTIF($A$2:$A220,$A220))</f>
        <v/>
      </c>
      <c r="J220" s="23" t="str">
        <f t="shared" si="7"/>
        <v/>
      </c>
    </row>
    <row r="221" spans="3:10" x14ac:dyDescent="0.3">
      <c r="C221" s="44"/>
      <c r="D221" s="44"/>
      <c r="E221" s="44"/>
      <c r="F221" s="44"/>
      <c r="G221" s="44"/>
      <c r="H221" s="22" t="str">
        <f t="shared" si="6"/>
        <v/>
      </c>
      <c r="I221" s="23" t="str">
        <f>IF($A221="","",$A221&amp;"#"&amp;COUNTIF($A$2:$A221,$A221))</f>
        <v/>
      </c>
      <c r="J221" s="23" t="str">
        <f t="shared" si="7"/>
        <v/>
      </c>
    </row>
    <row r="222" spans="3:10" x14ac:dyDescent="0.3">
      <c r="C222" s="44"/>
      <c r="D222" s="44"/>
      <c r="E222" s="44"/>
      <c r="F222" s="44"/>
      <c r="G222" s="44"/>
      <c r="H222" s="22" t="str">
        <f t="shared" si="6"/>
        <v/>
      </c>
      <c r="I222" s="23" t="str">
        <f>IF($A222="","",$A222&amp;"#"&amp;COUNTIF($A$2:$A222,$A222))</f>
        <v/>
      </c>
      <c r="J222" s="23" t="str">
        <f t="shared" si="7"/>
        <v/>
      </c>
    </row>
    <row r="223" spans="3:10" x14ac:dyDescent="0.3">
      <c r="C223" s="44"/>
      <c r="D223" s="44"/>
      <c r="E223" s="44"/>
      <c r="F223" s="44"/>
      <c r="G223" s="44"/>
      <c r="H223" s="22" t="str">
        <f t="shared" si="6"/>
        <v/>
      </c>
      <c r="I223" s="23" t="str">
        <f>IF($A223="","",$A223&amp;"#"&amp;COUNTIF($A$2:$A223,$A223))</f>
        <v/>
      </c>
      <c r="J223" s="23" t="str">
        <f t="shared" si="7"/>
        <v/>
      </c>
    </row>
    <row r="224" spans="3:10" x14ac:dyDescent="0.3">
      <c r="C224" s="44"/>
      <c r="D224" s="44"/>
      <c r="E224" s="44"/>
      <c r="F224" s="44"/>
      <c r="G224" s="44"/>
      <c r="H224" s="22" t="str">
        <f t="shared" si="6"/>
        <v/>
      </c>
      <c r="I224" s="23" t="str">
        <f>IF($A224="","",$A224&amp;"#"&amp;COUNTIF($A$2:$A224,$A224))</f>
        <v/>
      </c>
      <c r="J224" s="23" t="str">
        <f t="shared" si="7"/>
        <v/>
      </c>
    </row>
    <row r="225" spans="3:10" x14ac:dyDescent="0.3">
      <c r="C225" s="44"/>
      <c r="D225" s="44"/>
      <c r="E225" s="44"/>
      <c r="F225" s="44"/>
      <c r="G225" s="44"/>
      <c r="H225" s="22" t="str">
        <f t="shared" si="6"/>
        <v/>
      </c>
      <c r="I225" s="23" t="str">
        <f>IF($A225="","",$A225&amp;"#"&amp;COUNTIF($A$2:$A225,$A225))</f>
        <v/>
      </c>
      <c r="J225" s="23" t="str">
        <f t="shared" si="7"/>
        <v/>
      </c>
    </row>
    <row r="226" spans="3:10" x14ac:dyDescent="0.3">
      <c r="C226" s="44"/>
      <c r="D226" s="44"/>
      <c r="E226" s="44"/>
      <c r="F226" s="44"/>
      <c r="G226" s="44"/>
      <c r="H226" s="22" t="str">
        <f t="shared" si="6"/>
        <v/>
      </c>
      <c r="I226" s="23" t="str">
        <f>IF($A226="","",$A226&amp;"#"&amp;COUNTIF($A$2:$A226,$A226))</f>
        <v/>
      </c>
      <c r="J226" s="23" t="str">
        <f t="shared" si="7"/>
        <v/>
      </c>
    </row>
    <row r="227" spans="3:10" x14ac:dyDescent="0.3">
      <c r="C227" s="44"/>
      <c r="D227" s="44"/>
      <c r="E227" s="44"/>
      <c r="F227" s="44"/>
      <c r="G227" s="44"/>
      <c r="H227" s="22" t="str">
        <f t="shared" si="6"/>
        <v/>
      </c>
      <c r="I227" s="23" t="str">
        <f>IF($A227="","",$A227&amp;"#"&amp;COUNTIF($A$2:$A227,$A227))</f>
        <v/>
      </c>
      <c r="J227" s="23" t="str">
        <f t="shared" si="7"/>
        <v/>
      </c>
    </row>
    <row r="228" spans="3:10" x14ac:dyDescent="0.3">
      <c r="C228" s="44"/>
      <c r="D228" s="44"/>
      <c r="E228" s="44"/>
      <c r="F228" s="44"/>
      <c r="G228" s="44"/>
      <c r="H228" s="22" t="str">
        <f t="shared" si="6"/>
        <v/>
      </c>
      <c r="I228" s="23" t="str">
        <f>IF($A228="","",$A228&amp;"#"&amp;COUNTIF($A$2:$A228,$A228))</f>
        <v/>
      </c>
      <c r="J228" s="23" t="str">
        <f t="shared" si="7"/>
        <v/>
      </c>
    </row>
    <row r="229" spans="3:10" x14ac:dyDescent="0.3">
      <c r="C229" s="44"/>
      <c r="D229" s="44"/>
      <c r="E229" s="44"/>
      <c r="F229" s="44"/>
      <c r="G229" s="44"/>
      <c r="H229" s="22" t="str">
        <f t="shared" si="6"/>
        <v/>
      </c>
      <c r="I229" s="23" t="str">
        <f>IF($A229="","",$A229&amp;"#"&amp;COUNTIF($A$2:$A229,$A229))</f>
        <v/>
      </c>
      <c r="J229" s="23" t="str">
        <f t="shared" si="7"/>
        <v/>
      </c>
    </row>
    <row r="230" spans="3:10" x14ac:dyDescent="0.3">
      <c r="C230" s="44"/>
      <c r="D230" s="44"/>
      <c r="E230" s="44"/>
      <c r="F230" s="44"/>
      <c r="G230" s="44"/>
      <c r="H230" s="22" t="str">
        <f t="shared" si="6"/>
        <v/>
      </c>
      <c r="I230" s="23" t="str">
        <f>IF($A230="","",$A230&amp;"#"&amp;COUNTIF($A$2:$A230,$A230))</f>
        <v/>
      </c>
      <c r="J230" s="23" t="str">
        <f t="shared" si="7"/>
        <v/>
      </c>
    </row>
    <row r="231" spans="3:10" x14ac:dyDescent="0.3">
      <c r="C231" s="44"/>
      <c r="D231" s="44"/>
      <c r="E231" s="44"/>
      <c r="F231" s="44"/>
      <c r="G231" s="44"/>
      <c r="H231" s="22" t="str">
        <f t="shared" si="6"/>
        <v/>
      </c>
      <c r="I231" s="23" t="str">
        <f>IF($A231="","",$A231&amp;"#"&amp;COUNTIF($A$2:$A231,$A231))</f>
        <v/>
      </c>
      <c r="J231" s="23" t="str">
        <f t="shared" si="7"/>
        <v/>
      </c>
    </row>
    <row r="232" spans="3:10" x14ac:dyDescent="0.3">
      <c r="C232" s="44"/>
      <c r="D232" s="44"/>
      <c r="E232" s="44"/>
      <c r="F232" s="44"/>
      <c r="G232" s="44"/>
      <c r="H232" s="22" t="str">
        <f t="shared" si="6"/>
        <v/>
      </c>
      <c r="I232" s="23" t="str">
        <f>IF($A232="","",$A232&amp;"#"&amp;COUNTIF($A$2:$A232,$A232))</f>
        <v/>
      </c>
      <c r="J232" s="23" t="str">
        <f t="shared" si="7"/>
        <v/>
      </c>
    </row>
    <row r="233" spans="3:10" x14ac:dyDescent="0.3">
      <c r="C233" s="44"/>
      <c r="D233" s="44"/>
      <c r="E233" s="44"/>
      <c r="F233" s="44"/>
      <c r="G233" s="44"/>
      <c r="H233" s="22" t="str">
        <f t="shared" si="6"/>
        <v/>
      </c>
      <c r="I233" s="23" t="str">
        <f>IF($A233="","",$A233&amp;"#"&amp;COUNTIF($A$2:$A233,$A233))</f>
        <v/>
      </c>
      <c r="J233" s="23" t="str">
        <f t="shared" si="7"/>
        <v/>
      </c>
    </row>
    <row r="234" spans="3:10" x14ac:dyDescent="0.3">
      <c r="C234" s="44"/>
      <c r="D234" s="44"/>
      <c r="E234" s="44"/>
      <c r="F234" s="44"/>
      <c r="G234" s="44"/>
      <c r="H234" s="22" t="str">
        <f t="shared" si="6"/>
        <v/>
      </c>
      <c r="I234" s="23" t="str">
        <f>IF($A234="","",$A234&amp;"#"&amp;COUNTIF($A$2:$A234,$A234))</f>
        <v/>
      </c>
      <c r="J234" s="23" t="str">
        <f t="shared" si="7"/>
        <v/>
      </c>
    </row>
    <row r="235" spans="3:10" x14ac:dyDescent="0.3">
      <c r="C235" s="44"/>
      <c r="D235" s="44"/>
      <c r="E235" s="44"/>
      <c r="F235" s="44"/>
      <c r="G235" s="44"/>
      <c r="H235" s="22" t="str">
        <f t="shared" si="6"/>
        <v/>
      </c>
      <c r="I235" s="23" t="str">
        <f>IF($A235="","",$A235&amp;"#"&amp;COUNTIF($A$2:$A235,$A235))</f>
        <v/>
      </c>
      <c r="J235" s="23" t="str">
        <f t="shared" si="7"/>
        <v/>
      </c>
    </row>
    <row r="236" spans="3:10" x14ac:dyDescent="0.3">
      <c r="C236" s="44"/>
      <c r="D236" s="44"/>
      <c r="E236" s="44"/>
      <c r="F236" s="44"/>
      <c r="G236" s="44"/>
      <c r="H236" s="22" t="str">
        <f t="shared" si="6"/>
        <v/>
      </c>
      <c r="I236" s="23" t="str">
        <f>IF($A236="","",$A236&amp;"#"&amp;COUNTIF($A$2:$A236,$A236))</f>
        <v/>
      </c>
      <c r="J236" s="23" t="str">
        <f t="shared" si="7"/>
        <v/>
      </c>
    </row>
    <row r="237" spans="3:10" x14ac:dyDescent="0.3">
      <c r="C237" s="44"/>
      <c r="D237" s="44"/>
      <c r="E237" s="44"/>
      <c r="F237" s="44"/>
      <c r="G237" s="44"/>
      <c r="H237" s="22" t="str">
        <f t="shared" si="6"/>
        <v/>
      </c>
      <c r="I237" s="23" t="str">
        <f>IF($A237="","",$A237&amp;"#"&amp;COUNTIF($A$2:$A237,$A237))</f>
        <v/>
      </c>
      <c r="J237" s="23" t="str">
        <f t="shared" si="7"/>
        <v/>
      </c>
    </row>
    <row r="238" spans="3:10" x14ac:dyDescent="0.3">
      <c r="C238" s="44"/>
      <c r="D238" s="44"/>
      <c r="E238" s="44"/>
      <c r="F238" s="44"/>
      <c r="G238" s="44"/>
      <c r="H238" s="22" t="str">
        <f t="shared" si="6"/>
        <v/>
      </c>
      <c r="I238" s="23" t="str">
        <f>IF($A238="","",$A238&amp;"#"&amp;COUNTIF($A$2:$A238,$A238))</f>
        <v/>
      </c>
      <c r="J238" s="23" t="str">
        <f t="shared" si="7"/>
        <v/>
      </c>
    </row>
    <row r="239" spans="3:10" x14ac:dyDescent="0.3">
      <c r="C239" s="44"/>
      <c r="D239" s="44"/>
      <c r="E239" s="44"/>
      <c r="F239" s="44"/>
      <c r="G239" s="44"/>
      <c r="H239" s="22" t="str">
        <f t="shared" si="6"/>
        <v/>
      </c>
      <c r="I239" s="23" t="str">
        <f>IF($A239="","",$A239&amp;"#"&amp;COUNTIF($A$2:$A239,$A239))</f>
        <v/>
      </c>
      <c r="J239" s="23" t="str">
        <f t="shared" si="7"/>
        <v/>
      </c>
    </row>
    <row r="240" spans="3:10" x14ac:dyDescent="0.3">
      <c r="C240" s="44"/>
      <c r="D240" s="44"/>
      <c r="E240" s="44"/>
      <c r="F240" s="44"/>
      <c r="G240" s="44"/>
      <c r="H240" s="22" t="str">
        <f t="shared" si="6"/>
        <v/>
      </c>
      <c r="I240" s="23" t="str">
        <f>IF($A240="","",$A240&amp;"#"&amp;COUNTIF($A$2:$A240,$A240))</f>
        <v/>
      </c>
      <c r="J240" s="23" t="str">
        <f t="shared" si="7"/>
        <v/>
      </c>
    </row>
    <row r="241" spans="3:10" x14ac:dyDescent="0.3">
      <c r="C241" s="44"/>
      <c r="D241" s="44"/>
      <c r="E241" s="44"/>
      <c r="F241" s="44"/>
      <c r="G241" s="44"/>
      <c r="H241" s="22" t="str">
        <f t="shared" si="6"/>
        <v/>
      </c>
      <c r="I241" s="23" t="str">
        <f>IF($A241="","",$A241&amp;"#"&amp;COUNTIF($A$2:$A241,$A241))</f>
        <v/>
      </c>
      <c r="J241" s="23" t="str">
        <f t="shared" si="7"/>
        <v/>
      </c>
    </row>
    <row r="242" spans="3:10" x14ac:dyDescent="0.3">
      <c r="C242" s="44"/>
      <c r="D242" s="44"/>
      <c r="E242" s="44"/>
      <c r="F242" s="44"/>
      <c r="G242" s="44"/>
      <c r="H242" s="22" t="str">
        <f t="shared" si="6"/>
        <v/>
      </c>
      <c r="I242" s="23" t="str">
        <f>IF($A242="","",$A242&amp;"#"&amp;COUNTIF($A$2:$A242,$A242))</f>
        <v/>
      </c>
      <c r="J242" s="23" t="str">
        <f t="shared" si="7"/>
        <v/>
      </c>
    </row>
    <row r="243" spans="3:10" x14ac:dyDescent="0.3">
      <c r="C243" s="44"/>
      <c r="D243" s="44"/>
      <c r="E243" s="44"/>
      <c r="F243" s="44"/>
      <c r="G243" s="44"/>
      <c r="H243" s="22" t="str">
        <f t="shared" si="6"/>
        <v/>
      </c>
      <c r="I243" s="23" t="str">
        <f>IF($A243="","",$A243&amp;"#"&amp;COUNTIF($A$2:$A243,$A243))</f>
        <v/>
      </c>
      <c r="J243" s="23" t="str">
        <f t="shared" si="7"/>
        <v/>
      </c>
    </row>
    <row r="244" spans="3:10" x14ac:dyDescent="0.3">
      <c r="C244" s="44"/>
      <c r="D244" s="44"/>
      <c r="E244" s="44"/>
      <c r="F244" s="44"/>
      <c r="G244" s="44"/>
      <c r="H244" s="22" t="str">
        <f t="shared" si="6"/>
        <v/>
      </c>
      <c r="I244" s="23" t="str">
        <f>IF($A244="","",$A244&amp;"#"&amp;COUNTIF($A$2:$A244,$A244))</f>
        <v/>
      </c>
      <c r="J244" s="23" t="str">
        <f t="shared" si="7"/>
        <v/>
      </c>
    </row>
    <row r="245" spans="3:10" x14ac:dyDescent="0.3">
      <c r="C245" s="44"/>
      <c r="D245" s="44"/>
      <c r="E245" s="44"/>
      <c r="F245" s="44"/>
      <c r="G245" s="44"/>
      <c r="H245" s="22" t="str">
        <f t="shared" si="6"/>
        <v/>
      </c>
      <c r="I245" s="23" t="str">
        <f>IF($A245="","",$A245&amp;"#"&amp;COUNTIF($A$2:$A245,$A245))</f>
        <v/>
      </c>
      <c r="J245" s="23" t="str">
        <f t="shared" si="7"/>
        <v/>
      </c>
    </row>
    <row r="246" spans="3:10" x14ac:dyDescent="0.3">
      <c r="C246" s="44"/>
      <c r="D246" s="44"/>
      <c r="E246" s="44"/>
      <c r="F246" s="44"/>
      <c r="G246" s="44"/>
      <c r="H246" s="22" t="str">
        <f t="shared" si="6"/>
        <v/>
      </c>
      <c r="I246" s="23" t="str">
        <f>IF($A246="","",$A246&amp;"#"&amp;COUNTIF($A$2:$A246,$A246))</f>
        <v/>
      </c>
      <c r="J246" s="23" t="str">
        <f t="shared" si="7"/>
        <v/>
      </c>
    </row>
    <row r="247" spans="3:10" x14ac:dyDescent="0.3">
      <c r="C247" s="44"/>
      <c r="D247" s="44"/>
      <c r="E247" s="44"/>
      <c r="F247" s="44"/>
      <c r="G247" s="44"/>
      <c r="H247" s="22" t="str">
        <f t="shared" si="6"/>
        <v/>
      </c>
      <c r="I247" s="23" t="str">
        <f>IF($A247="","",$A247&amp;"#"&amp;COUNTIF($A$2:$A247,$A247))</f>
        <v/>
      </c>
      <c r="J247" s="23" t="str">
        <f t="shared" si="7"/>
        <v/>
      </c>
    </row>
    <row r="248" spans="3:10" x14ac:dyDescent="0.3">
      <c r="C248" s="44"/>
      <c r="D248" s="44"/>
      <c r="E248" s="44"/>
      <c r="F248" s="44"/>
      <c r="G248" s="44"/>
      <c r="H248" s="22" t="str">
        <f t="shared" si="6"/>
        <v/>
      </c>
      <c r="I248" s="23" t="str">
        <f>IF($A248="","",$A248&amp;"#"&amp;COUNTIF($A$2:$A248,$A248))</f>
        <v/>
      </c>
      <c r="J248" s="23" t="str">
        <f t="shared" si="7"/>
        <v/>
      </c>
    </row>
    <row r="249" spans="3:10" x14ac:dyDescent="0.3">
      <c r="C249" s="44"/>
      <c r="D249" s="44"/>
      <c r="E249" s="44"/>
      <c r="F249" s="44"/>
      <c r="G249" s="44"/>
      <c r="H249" s="22" t="str">
        <f t="shared" si="6"/>
        <v/>
      </c>
      <c r="I249" s="23" t="str">
        <f>IF($A249="","",$A249&amp;"#"&amp;COUNTIF($A$2:$A249,$A249))</f>
        <v/>
      </c>
      <c r="J249" s="23" t="str">
        <f t="shared" si="7"/>
        <v/>
      </c>
    </row>
    <row r="250" spans="3:10" x14ac:dyDescent="0.3">
      <c r="C250" s="44"/>
      <c r="D250" s="44"/>
      <c r="E250" s="44"/>
      <c r="F250" s="44"/>
      <c r="G250" s="44"/>
      <c r="H250" s="22" t="str">
        <f t="shared" si="6"/>
        <v/>
      </c>
      <c r="I250" s="23" t="str">
        <f>IF($A250="","",$A250&amp;"#"&amp;COUNTIF($A$2:$A250,$A250))</f>
        <v/>
      </c>
      <c r="J250" s="23" t="str">
        <f t="shared" si="7"/>
        <v/>
      </c>
    </row>
    <row r="251" spans="3:10" x14ac:dyDescent="0.3">
      <c r="C251" s="44"/>
      <c r="D251" s="44"/>
      <c r="E251" s="44"/>
      <c r="F251" s="44"/>
      <c r="G251" s="44"/>
      <c r="H251" s="22" t="str">
        <f t="shared" si="6"/>
        <v/>
      </c>
      <c r="I251" s="23" t="str">
        <f>IF($A251="","",$A251&amp;"#"&amp;COUNTIF($A$2:$A251,$A251))</f>
        <v/>
      </c>
      <c r="J251" s="23" t="str">
        <f t="shared" si="7"/>
        <v/>
      </c>
    </row>
    <row r="252" spans="3:10" x14ac:dyDescent="0.3">
      <c r="C252" s="44"/>
      <c r="D252" s="44"/>
      <c r="E252" s="44"/>
      <c r="F252" s="44"/>
      <c r="G252" s="44"/>
      <c r="H252" s="22" t="str">
        <f t="shared" si="6"/>
        <v/>
      </c>
      <c r="I252" s="23" t="str">
        <f>IF($A252="","",$A252&amp;"#"&amp;COUNTIF($A$2:$A252,$A252))</f>
        <v/>
      </c>
      <c r="J252" s="23" t="str">
        <f t="shared" si="7"/>
        <v/>
      </c>
    </row>
    <row r="253" spans="3:10" x14ac:dyDescent="0.3">
      <c r="C253" s="44"/>
      <c r="D253" s="44"/>
      <c r="E253" s="44"/>
      <c r="F253" s="44"/>
      <c r="G253" s="44"/>
      <c r="H253" s="22" t="str">
        <f t="shared" si="6"/>
        <v/>
      </c>
      <c r="I253" s="23" t="str">
        <f>IF($A253="","",$A253&amp;"#"&amp;COUNTIF($A$2:$A253,$A253))</f>
        <v/>
      </c>
      <c r="J253" s="23" t="str">
        <f t="shared" si="7"/>
        <v/>
      </c>
    </row>
    <row r="254" spans="3:10" x14ac:dyDescent="0.3">
      <c r="C254" s="44"/>
      <c r="D254" s="44"/>
      <c r="E254" s="44"/>
      <c r="F254" s="44"/>
      <c r="G254" s="44"/>
      <c r="H254" s="22" t="str">
        <f t="shared" si="6"/>
        <v/>
      </c>
      <c r="I254" s="23" t="str">
        <f>IF($A254="","",$A254&amp;"#"&amp;COUNTIF($A$2:$A254,$A254))</f>
        <v/>
      </c>
      <c r="J254" s="23" t="str">
        <f t="shared" si="7"/>
        <v/>
      </c>
    </row>
    <row r="255" spans="3:10" x14ac:dyDescent="0.3">
      <c r="C255" s="44"/>
      <c r="D255" s="44"/>
      <c r="E255" s="44"/>
      <c r="F255" s="44"/>
      <c r="G255" s="44"/>
      <c r="H255" s="22" t="str">
        <f t="shared" si="6"/>
        <v/>
      </c>
      <c r="I255" s="23" t="str">
        <f>IF($A255="","",$A255&amp;"#"&amp;COUNTIF($A$2:$A255,$A255))</f>
        <v/>
      </c>
      <c r="J255" s="23" t="str">
        <f t="shared" si="7"/>
        <v/>
      </c>
    </row>
    <row r="256" spans="3:10" x14ac:dyDescent="0.3">
      <c r="C256" s="44"/>
      <c r="D256" s="44"/>
      <c r="E256" s="44"/>
      <c r="F256" s="44"/>
      <c r="G256" s="44"/>
      <c r="H256" s="22" t="str">
        <f t="shared" si="6"/>
        <v/>
      </c>
      <c r="I256" s="23" t="str">
        <f>IF($A256="","",$A256&amp;"#"&amp;COUNTIF($A$2:$A256,$A256))</f>
        <v/>
      </c>
      <c r="J256" s="23" t="str">
        <f t="shared" si="7"/>
        <v/>
      </c>
    </row>
    <row r="257" spans="3:10" x14ac:dyDescent="0.3">
      <c r="C257" s="44"/>
      <c r="D257" s="44"/>
      <c r="E257" s="44"/>
      <c r="F257" s="44"/>
      <c r="G257" s="44"/>
      <c r="H257" s="22" t="str">
        <f t="shared" si="6"/>
        <v/>
      </c>
      <c r="I257" s="23" t="str">
        <f>IF($A257="","",$A257&amp;"#"&amp;COUNTIF($A$2:$A257,$A257))</f>
        <v/>
      </c>
      <c r="J257" s="23" t="str">
        <f t="shared" si="7"/>
        <v/>
      </c>
    </row>
    <row r="258" spans="3:10" x14ac:dyDescent="0.3">
      <c r="C258" s="44"/>
      <c r="D258" s="44"/>
      <c r="E258" s="44"/>
      <c r="F258" s="44"/>
      <c r="G258" s="44"/>
      <c r="H258" s="22" t="str">
        <f t="shared" ref="H258:H321" si="8">IF($A258="","",CHOOSE(WEEKDAY($A258,2),"Δευ","Τρί","Τετ","Πέμ","Παρ","Σάβ","Κυρ"))</f>
        <v/>
      </c>
      <c r="I258" s="23" t="str">
        <f>IF($A258="","",$A258&amp;"#"&amp;COUNTIF($A$2:$A258,$A258))</f>
        <v/>
      </c>
      <c r="J258" s="23" t="str">
        <f t="shared" ref="J258:J321" si="9">IF($A258="","",IF($B258="","",$B258&amp;"  ")&amp;$C258&amp;IF($E258="","","  ("&amp;$E258&amp;")"))</f>
        <v/>
      </c>
    </row>
    <row r="259" spans="3:10" x14ac:dyDescent="0.3">
      <c r="C259" s="44"/>
      <c r="D259" s="44"/>
      <c r="E259" s="44"/>
      <c r="F259" s="44"/>
      <c r="G259" s="44"/>
      <c r="H259" s="22" t="str">
        <f t="shared" si="8"/>
        <v/>
      </c>
      <c r="I259" s="23" t="str">
        <f>IF($A259="","",$A259&amp;"#"&amp;COUNTIF($A$2:$A259,$A259))</f>
        <v/>
      </c>
      <c r="J259" s="23" t="str">
        <f t="shared" si="9"/>
        <v/>
      </c>
    </row>
    <row r="260" spans="3:10" x14ac:dyDescent="0.3">
      <c r="C260" s="44"/>
      <c r="D260" s="44"/>
      <c r="E260" s="44"/>
      <c r="F260" s="44"/>
      <c r="G260" s="44"/>
      <c r="H260" s="22" t="str">
        <f t="shared" si="8"/>
        <v/>
      </c>
      <c r="I260" s="23" t="str">
        <f>IF($A260="","",$A260&amp;"#"&amp;COUNTIF($A$2:$A260,$A260))</f>
        <v/>
      </c>
      <c r="J260" s="23" t="str">
        <f t="shared" si="9"/>
        <v/>
      </c>
    </row>
    <row r="261" spans="3:10" x14ac:dyDescent="0.3">
      <c r="C261" s="44"/>
      <c r="D261" s="44"/>
      <c r="E261" s="44"/>
      <c r="F261" s="44"/>
      <c r="G261" s="44"/>
      <c r="H261" s="22" t="str">
        <f t="shared" si="8"/>
        <v/>
      </c>
      <c r="I261" s="23" t="str">
        <f>IF($A261="","",$A261&amp;"#"&amp;COUNTIF($A$2:$A261,$A261))</f>
        <v/>
      </c>
      <c r="J261" s="23" t="str">
        <f t="shared" si="9"/>
        <v/>
      </c>
    </row>
    <row r="262" spans="3:10" x14ac:dyDescent="0.3">
      <c r="C262" s="44"/>
      <c r="D262" s="44"/>
      <c r="E262" s="44"/>
      <c r="F262" s="44"/>
      <c r="G262" s="44"/>
      <c r="H262" s="22" t="str">
        <f t="shared" si="8"/>
        <v/>
      </c>
      <c r="I262" s="23" t="str">
        <f>IF($A262="","",$A262&amp;"#"&amp;COUNTIF($A$2:$A262,$A262))</f>
        <v/>
      </c>
      <c r="J262" s="23" t="str">
        <f t="shared" si="9"/>
        <v/>
      </c>
    </row>
    <row r="263" spans="3:10" x14ac:dyDescent="0.3">
      <c r="C263" s="44"/>
      <c r="D263" s="44"/>
      <c r="E263" s="44"/>
      <c r="F263" s="44"/>
      <c r="G263" s="44"/>
      <c r="H263" s="22" t="str">
        <f t="shared" si="8"/>
        <v/>
      </c>
      <c r="I263" s="23" t="str">
        <f>IF($A263="","",$A263&amp;"#"&amp;COUNTIF($A$2:$A263,$A263))</f>
        <v/>
      </c>
      <c r="J263" s="23" t="str">
        <f t="shared" si="9"/>
        <v/>
      </c>
    </row>
    <row r="264" spans="3:10" x14ac:dyDescent="0.3">
      <c r="C264" s="44"/>
      <c r="D264" s="44"/>
      <c r="E264" s="44"/>
      <c r="F264" s="44"/>
      <c r="G264" s="44"/>
      <c r="H264" s="22" t="str">
        <f t="shared" si="8"/>
        <v/>
      </c>
      <c r="I264" s="23" t="str">
        <f>IF($A264="","",$A264&amp;"#"&amp;COUNTIF($A$2:$A264,$A264))</f>
        <v/>
      </c>
      <c r="J264" s="23" t="str">
        <f t="shared" si="9"/>
        <v/>
      </c>
    </row>
    <row r="265" spans="3:10" x14ac:dyDescent="0.3">
      <c r="C265" s="44"/>
      <c r="D265" s="44"/>
      <c r="E265" s="44"/>
      <c r="F265" s="44"/>
      <c r="G265" s="44"/>
      <c r="H265" s="22" t="str">
        <f t="shared" si="8"/>
        <v/>
      </c>
      <c r="I265" s="23" t="str">
        <f>IF($A265="","",$A265&amp;"#"&amp;COUNTIF($A$2:$A265,$A265))</f>
        <v/>
      </c>
      <c r="J265" s="23" t="str">
        <f t="shared" si="9"/>
        <v/>
      </c>
    </row>
    <row r="266" spans="3:10" x14ac:dyDescent="0.3">
      <c r="C266" s="44"/>
      <c r="D266" s="44"/>
      <c r="E266" s="44"/>
      <c r="F266" s="44"/>
      <c r="G266" s="44"/>
      <c r="H266" s="22" t="str">
        <f t="shared" si="8"/>
        <v/>
      </c>
      <c r="I266" s="23" t="str">
        <f>IF($A266="","",$A266&amp;"#"&amp;COUNTIF($A$2:$A266,$A266))</f>
        <v/>
      </c>
      <c r="J266" s="23" t="str">
        <f t="shared" si="9"/>
        <v/>
      </c>
    </row>
    <row r="267" spans="3:10" x14ac:dyDescent="0.3">
      <c r="C267" s="44"/>
      <c r="D267" s="44"/>
      <c r="E267" s="44"/>
      <c r="F267" s="44"/>
      <c r="G267" s="44"/>
      <c r="H267" s="22" t="str">
        <f t="shared" si="8"/>
        <v/>
      </c>
      <c r="I267" s="23" t="str">
        <f>IF($A267="","",$A267&amp;"#"&amp;COUNTIF($A$2:$A267,$A267))</f>
        <v/>
      </c>
      <c r="J267" s="23" t="str">
        <f t="shared" si="9"/>
        <v/>
      </c>
    </row>
    <row r="268" spans="3:10" x14ac:dyDescent="0.3">
      <c r="C268" s="44"/>
      <c r="D268" s="44"/>
      <c r="E268" s="44"/>
      <c r="F268" s="44"/>
      <c r="G268" s="44"/>
      <c r="H268" s="22" t="str">
        <f t="shared" si="8"/>
        <v/>
      </c>
      <c r="I268" s="23" t="str">
        <f>IF($A268="","",$A268&amp;"#"&amp;COUNTIF($A$2:$A268,$A268))</f>
        <v/>
      </c>
      <c r="J268" s="23" t="str">
        <f t="shared" si="9"/>
        <v/>
      </c>
    </row>
    <row r="269" spans="3:10" x14ac:dyDescent="0.3">
      <c r="C269" s="44"/>
      <c r="D269" s="44"/>
      <c r="E269" s="44"/>
      <c r="F269" s="44"/>
      <c r="G269" s="44"/>
      <c r="H269" s="22" t="str">
        <f t="shared" si="8"/>
        <v/>
      </c>
      <c r="I269" s="23" t="str">
        <f>IF($A269="","",$A269&amp;"#"&amp;COUNTIF($A$2:$A269,$A269))</f>
        <v/>
      </c>
      <c r="J269" s="23" t="str">
        <f t="shared" si="9"/>
        <v/>
      </c>
    </row>
    <row r="270" spans="3:10" x14ac:dyDescent="0.3">
      <c r="C270" s="44"/>
      <c r="D270" s="44"/>
      <c r="E270" s="44"/>
      <c r="F270" s="44"/>
      <c r="G270" s="44"/>
      <c r="H270" s="22" t="str">
        <f t="shared" si="8"/>
        <v/>
      </c>
      <c r="I270" s="23" t="str">
        <f>IF($A270="","",$A270&amp;"#"&amp;COUNTIF($A$2:$A270,$A270))</f>
        <v/>
      </c>
      <c r="J270" s="23" t="str">
        <f t="shared" si="9"/>
        <v/>
      </c>
    </row>
    <row r="271" spans="3:10" x14ac:dyDescent="0.3">
      <c r="C271" s="44"/>
      <c r="D271" s="44"/>
      <c r="E271" s="44"/>
      <c r="F271" s="44"/>
      <c r="G271" s="44"/>
      <c r="H271" s="22" t="str">
        <f t="shared" si="8"/>
        <v/>
      </c>
      <c r="I271" s="23" t="str">
        <f>IF($A271="","",$A271&amp;"#"&amp;COUNTIF($A$2:$A271,$A271))</f>
        <v/>
      </c>
      <c r="J271" s="23" t="str">
        <f t="shared" si="9"/>
        <v/>
      </c>
    </row>
    <row r="272" spans="3:10" x14ac:dyDescent="0.3">
      <c r="C272" s="44"/>
      <c r="D272" s="44"/>
      <c r="E272" s="44"/>
      <c r="F272" s="44"/>
      <c r="G272" s="44"/>
      <c r="H272" s="22" t="str">
        <f t="shared" si="8"/>
        <v/>
      </c>
      <c r="I272" s="23" t="str">
        <f>IF($A272="","",$A272&amp;"#"&amp;COUNTIF($A$2:$A272,$A272))</f>
        <v/>
      </c>
      <c r="J272" s="23" t="str">
        <f t="shared" si="9"/>
        <v/>
      </c>
    </row>
    <row r="273" spans="3:10" x14ac:dyDescent="0.3">
      <c r="C273" s="44"/>
      <c r="D273" s="44"/>
      <c r="E273" s="44"/>
      <c r="F273" s="44"/>
      <c r="G273" s="44"/>
      <c r="H273" s="22" t="str">
        <f t="shared" si="8"/>
        <v/>
      </c>
      <c r="I273" s="23" t="str">
        <f>IF($A273="","",$A273&amp;"#"&amp;COUNTIF($A$2:$A273,$A273))</f>
        <v/>
      </c>
      <c r="J273" s="23" t="str">
        <f t="shared" si="9"/>
        <v/>
      </c>
    </row>
    <row r="274" spans="3:10" x14ac:dyDescent="0.3">
      <c r="C274" s="44"/>
      <c r="D274" s="44"/>
      <c r="E274" s="44"/>
      <c r="F274" s="44"/>
      <c r="G274" s="44"/>
      <c r="H274" s="22" t="str">
        <f t="shared" si="8"/>
        <v/>
      </c>
      <c r="I274" s="23" t="str">
        <f>IF($A274="","",$A274&amp;"#"&amp;COUNTIF($A$2:$A274,$A274))</f>
        <v/>
      </c>
      <c r="J274" s="23" t="str">
        <f t="shared" si="9"/>
        <v/>
      </c>
    </row>
    <row r="275" spans="3:10" x14ac:dyDescent="0.3">
      <c r="C275" s="44"/>
      <c r="D275" s="44"/>
      <c r="E275" s="44"/>
      <c r="F275" s="44"/>
      <c r="G275" s="44"/>
      <c r="H275" s="22" t="str">
        <f t="shared" si="8"/>
        <v/>
      </c>
      <c r="I275" s="23" t="str">
        <f>IF($A275="","",$A275&amp;"#"&amp;COUNTIF($A$2:$A275,$A275))</f>
        <v/>
      </c>
      <c r="J275" s="23" t="str">
        <f t="shared" si="9"/>
        <v/>
      </c>
    </row>
    <row r="276" spans="3:10" x14ac:dyDescent="0.3">
      <c r="C276" s="44"/>
      <c r="D276" s="44"/>
      <c r="E276" s="44"/>
      <c r="F276" s="44"/>
      <c r="G276" s="44"/>
      <c r="H276" s="22" t="str">
        <f t="shared" si="8"/>
        <v/>
      </c>
      <c r="I276" s="23" t="str">
        <f>IF($A276="","",$A276&amp;"#"&amp;COUNTIF($A$2:$A276,$A276))</f>
        <v/>
      </c>
      <c r="J276" s="23" t="str">
        <f t="shared" si="9"/>
        <v/>
      </c>
    </row>
    <row r="277" spans="3:10" x14ac:dyDescent="0.3">
      <c r="C277" s="44"/>
      <c r="D277" s="44"/>
      <c r="E277" s="44"/>
      <c r="F277" s="44"/>
      <c r="G277" s="44"/>
      <c r="H277" s="22" t="str">
        <f t="shared" si="8"/>
        <v/>
      </c>
      <c r="I277" s="23" t="str">
        <f>IF($A277="","",$A277&amp;"#"&amp;COUNTIF($A$2:$A277,$A277))</f>
        <v/>
      </c>
      <c r="J277" s="23" t="str">
        <f t="shared" si="9"/>
        <v/>
      </c>
    </row>
    <row r="278" spans="3:10" x14ac:dyDescent="0.3">
      <c r="C278" s="44"/>
      <c r="D278" s="44"/>
      <c r="E278" s="44"/>
      <c r="F278" s="44"/>
      <c r="G278" s="44"/>
      <c r="H278" s="22" t="str">
        <f t="shared" si="8"/>
        <v/>
      </c>
      <c r="I278" s="23" t="str">
        <f>IF($A278="","",$A278&amp;"#"&amp;COUNTIF($A$2:$A278,$A278))</f>
        <v/>
      </c>
      <c r="J278" s="23" t="str">
        <f t="shared" si="9"/>
        <v/>
      </c>
    </row>
    <row r="279" spans="3:10" x14ac:dyDescent="0.3">
      <c r="C279" s="44"/>
      <c r="D279" s="44"/>
      <c r="E279" s="44"/>
      <c r="F279" s="44"/>
      <c r="G279" s="44"/>
      <c r="H279" s="22" t="str">
        <f t="shared" si="8"/>
        <v/>
      </c>
      <c r="I279" s="23" t="str">
        <f>IF($A279="","",$A279&amp;"#"&amp;COUNTIF($A$2:$A279,$A279))</f>
        <v/>
      </c>
      <c r="J279" s="23" t="str">
        <f t="shared" si="9"/>
        <v/>
      </c>
    </row>
    <row r="280" spans="3:10" x14ac:dyDescent="0.3">
      <c r="C280" s="44"/>
      <c r="D280" s="44"/>
      <c r="E280" s="44"/>
      <c r="F280" s="44"/>
      <c r="G280" s="44"/>
      <c r="H280" s="22" t="str">
        <f t="shared" si="8"/>
        <v/>
      </c>
      <c r="I280" s="23" t="str">
        <f>IF($A280="","",$A280&amp;"#"&amp;COUNTIF($A$2:$A280,$A280))</f>
        <v/>
      </c>
      <c r="J280" s="23" t="str">
        <f t="shared" si="9"/>
        <v/>
      </c>
    </row>
    <row r="281" spans="3:10" x14ac:dyDescent="0.3">
      <c r="C281" s="44"/>
      <c r="D281" s="44"/>
      <c r="E281" s="44"/>
      <c r="F281" s="44"/>
      <c r="G281" s="44"/>
      <c r="H281" s="22" t="str">
        <f t="shared" si="8"/>
        <v/>
      </c>
      <c r="I281" s="23" t="str">
        <f>IF($A281="","",$A281&amp;"#"&amp;COUNTIF($A$2:$A281,$A281))</f>
        <v/>
      </c>
      <c r="J281" s="23" t="str">
        <f t="shared" si="9"/>
        <v/>
      </c>
    </row>
    <row r="282" spans="3:10" x14ac:dyDescent="0.3">
      <c r="C282" s="44"/>
      <c r="D282" s="44"/>
      <c r="E282" s="44"/>
      <c r="F282" s="44"/>
      <c r="G282" s="44"/>
      <c r="H282" s="22" t="str">
        <f t="shared" si="8"/>
        <v/>
      </c>
      <c r="I282" s="23" t="str">
        <f>IF($A282="","",$A282&amp;"#"&amp;COUNTIF($A$2:$A282,$A282))</f>
        <v/>
      </c>
      <c r="J282" s="23" t="str">
        <f t="shared" si="9"/>
        <v/>
      </c>
    </row>
    <row r="283" spans="3:10" x14ac:dyDescent="0.3">
      <c r="C283" s="44"/>
      <c r="D283" s="44"/>
      <c r="E283" s="44"/>
      <c r="F283" s="44"/>
      <c r="G283" s="44"/>
      <c r="H283" s="22" t="str">
        <f t="shared" si="8"/>
        <v/>
      </c>
      <c r="I283" s="23" t="str">
        <f>IF($A283="","",$A283&amp;"#"&amp;COUNTIF($A$2:$A283,$A283))</f>
        <v/>
      </c>
      <c r="J283" s="23" t="str">
        <f t="shared" si="9"/>
        <v/>
      </c>
    </row>
    <row r="284" spans="3:10" x14ac:dyDescent="0.3">
      <c r="C284" s="44"/>
      <c r="D284" s="44"/>
      <c r="E284" s="44"/>
      <c r="F284" s="44"/>
      <c r="G284" s="44"/>
      <c r="H284" s="22" t="str">
        <f t="shared" si="8"/>
        <v/>
      </c>
      <c r="I284" s="23" t="str">
        <f>IF($A284="","",$A284&amp;"#"&amp;COUNTIF($A$2:$A284,$A284))</f>
        <v/>
      </c>
      <c r="J284" s="23" t="str">
        <f t="shared" si="9"/>
        <v/>
      </c>
    </row>
    <row r="285" spans="3:10" x14ac:dyDescent="0.3">
      <c r="C285" s="44"/>
      <c r="D285" s="44"/>
      <c r="E285" s="44"/>
      <c r="F285" s="44"/>
      <c r="G285" s="44"/>
      <c r="H285" s="22" t="str">
        <f t="shared" si="8"/>
        <v/>
      </c>
      <c r="I285" s="23" t="str">
        <f>IF($A285="","",$A285&amp;"#"&amp;COUNTIF($A$2:$A285,$A285))</f>
        <v/>
      </c>
      <c r="J285" s="23" t="str">
        <f t="shared" si="9"/>
        <v/>
      </c>
    </row>
    <row r="286" spans="3:10" x14ac:dyDescent="0.3">
      <c r="C286" s="44"/>
      <c r="D286" s="44"/>
      <c r="E286" s="44"/>
      <c r="F286" s="44"/>
      <c r="G286" s="44"/>
      <c r="H286" s="22" t="str">
        <f t="shared" si="8"/>
        <v/>
      </c>
      <c r="I286" s="23" t="str">
        <f>IF($A286="","",$A286&amp;"#"&amp;COUNTIF($A$2:$A286,$A286))</f>
        <v/>
      </c>
      <c r="J286" s="23" t="str">
        <f t="shared" si="9"/>
        <v/>
      </c>
    </row>
    <row r="287" spans="3:10" x14ac:dyDescent="0.3">
      <c r="C287" s="44"/>
      <c r="D287" s="44"/>
      <c r="E287" s="44"/>
      <c r="F287" s="44"/>
      <c r="G287" s="44"/>
      <c r="H287" s="22" t="str">
        <f t="shared" si="8"/>
        <v/>
      </c>
      <c r="I287" s="23" t="str">
        <f>IF($A287="","",$A287&amp;"#"&amp;COUNTIF($A$2:$A287,$A287))</f>
        <v/>
      </c>
      <c r="J287" s="23" t="str">
        <f t="shared" si="9"/>
        <v/>
      </c>
    </row>
    <row r="288" spans="3:10" x14ac:dyDescent="0.3">
      <c r="C288" s="44"/>
      <c r="D288" s="44"/>
      <c r="E288" s="44"/>
      <c r="F288" s="44"/>
      <c r="G288" s="44"/>
      <c r="H288" s="22" t="str">
        <f t="shared" si="8"/>
        <v/>
      </c>
      <c r="I288" s="23" t="str">
        <f>IF($A288="","",$A288&amp;"#"&amp;COUNTIF($A$2:$A288,$A288))</f>
        <v/>
      </c>
      <c r="J288" s="23" t="str">
        <f t="shared" si="9"/>
        <v/>
      </c>
    </row>
    <row r="289" spans="3:10" x14ac:dyDescent="0.3">
      <c r="C289" s="44"/>
      <c r="D289" s="44"/>
      <c r="E289" s="44"/>
      <c r="F289" s="44"/>
      <c r="G289" s="44"/>
      <c r="H289" s="22" t="str">
        <f t="shared" si="8"/>
        <v/>
      </c>
      <c r="I289" s="23" t="str">
        <f>IF($A289="","",$A289&amp;"#"&amp;COUNTIF($A$2:$A289,$A289))</f>
        <v/>
      </c>
      <c r="J289" s="23" t="str">
        <f t="shared" si="9"/>
        <v/>
      </c>
    </row>
    <row r="290" spans="3:10" x14ac:dyDescent="0.3">
      <c r="C290" s="44"/>
      <c r="D290" s="44"/>
      <c r="E290" s="44"/>
      <c r="F290" s="44"/>
      <c r="G290" s="44"/>
      <c r="H290" s="22" t="str">
        <f t="shared" si="8"/>
        <v/>
      </c>
      <c r="I290" s="23" t="str">
        <f>IF($A290="","",$A290&amp;"#"&amp;COUNTIF($A$2:$A290,$A290))</f>
        <v/>
      </c>
      <c r="J290" s="23" t="str">
        <f t="shared" si="9"/>
        <v/>
      </c>
    </row>
    <row r="291" spans="3:10" x14ac:dyDescent="0.3">
      <c r="C291" s="44"/>
      <c r="D291" s="44"/>
      <c r="E291" s="44"/>
      <c r="F291" s="44"/>
      <c r="G291" s="44"/>
      <c r="H291" s="22" t="str">
        <f t="shared" si="8"/>
        <v/>
      </c>
      <c r="I291" s="23" t="str">
        <f>IF($A291="","",$A291&amp;"#"&amp;COUNTIF($A$2:$A291,$A291))</f>
        <v/>
      </c>
      <c r="J291" s="23" t="str">
        <f t="shared" si="9"/>
        <v/>
      </c>
    </row>
    <row r="292" spans="3:10" x14ac:dyDescent="0.3">
      <c r="C292" s="44"/>
      <c r="D292" s="44"/>
      <c r="E292" s="44"/>
      <c r="F292" s="44"/>
      <c r="G292" s="44"/>
      <c r="H292" s="22" t="str">
        <f t="shared" si="8"/>
        <v/>
      </c>
      <c r="I292" s="23" t="str">
        <f>IF($A292="","",$A292&amp;"#"&amp;COUNTIF($A$2:$A292,$A292))</f>
        <v/>
      </c>
      <c r="J292" s="23" t="str">
        <f t="shared" si="9"/>
        <v/>
      </c>
    </row>
    <row r="293" spans="3:10" x14ac:dyDescent="0.3">
      <c r="C293" s="44"/>
      <c r="D293" s="44"/>
      <c r="E293" s="44"/>
      <c r="F293" s="44"/>
      <c r="G293" s="44"/>
      <c r="H293" s="22" t="str">
        <f t="shared" si="8"/>
        <v/>
      </c>
      <c r="I293" s="23" t="str">
        <f>IF($A293="","",$A293&amp;"#"&amp;COUNTIF($A$2:$A293,$A293))</f>
        <v/>
      </c>
      <c r="J293" s="23" t="str">
        <f t="shared" si="9"/>
        <v/>
      </c>
    </row>
    <row r="294" spans="3:10" x14ac:dyDescent="0.3">
      <c r="C294" s="44"/>
      <c r="D294" s="44"/>
      <c r="E294" s="44"/>
      <c r="F294" s="44"/>
      <c r="G294" s="44"/>
      <c r="H294" s="22" t="str">
        <f t="shared" si="8"/>
        <v/>
      </c>
      <c r="I294" s="23" t="str">
        <f>IF($A294="","",$A294&amp;"#"&amp;COUNTIF($A$2:$A294,$A294))</f>
        <v/>
      </c>
      <c r="J294" s="23" t="str">
        <f t="shared" si="9"/>
        <v/>
      </c>
    </row>
    <row r="295" spans="3:10" x14ac:dyDescent="0.3">
      <c r="C295" s="44"/>
      <c r="D295" s="44"/>
      <c r="E295" s="44"/>
      <c r="F295" s="44"/>
      <c r="G295" s="44"/>
      <c r="H295" s="22" t="str">
        <f t="shared" si="8"/>
        <v/>
      </c>
      <c r="I295" s="23" t="str">
        <f>IF($A295="","",$A295&amp;"#"&amp;COUNTIF($A$2:$A295,$A295))</f>
        <v/>
      </c>
      <c r="J295" s="23" t="str">
        <f t="shared" si="9"/>
        <v/>
      </c>
    </row>
    <row r="296" spans="3:10" x14ac:dyDescent="0.3">
      <c r="C296" s="44"/>
      <c r="D296" s="44"/>
      <c r="E296" s="44"/>
      <c r="F296" s="44"/>
      <c r="G296" s="44"/>
      <c r="H296" s="22" t="str">
        <f t="shared" si="8"/>
        <v/>
      </c>
      <c r="I296" s="23" t="str">
        <f>IF($A296="","",$A296&amp;"#"&amp;COUNTIF($A$2:$A296,$A296))</f>
        <v/>
      </c>
      <c r="J296" s="23" t="str">
        <f t="shared" si="9"/>
        <v/>
      </c>
    </row>
    <row r="297" spans="3:10" x14ac:dyDescent="0.3">
      <c r="C297" s="44"/>
      <c r="D297" s="44"/>
      <c r="E297" s="44"/>
      <c r="F297" s="44"/>
      <c r="G297" s="44"/>
      <c r="H297" s="22" t="str">
        <f t="shared" si="8"/>
        <v/>
      </c>
      <c r="I297" s="23" t="str">
        <f>IF($A297="","",$A297&amp;"#"&amp;COUNTIF($A$2:$A297,$A297))</f>
        <v/>
      </c>
      <c r="J297" s="23" t="str">
        <f t="shared" si="9"/>
        <v/>
      </c>
    </row>
    <row r="298" spans="3:10" x14ac:dyDescent="0.3">
      <c r="C298" s="44"/>
      <c r="D298" s="44"/>
      <c r="E298" s="44"/>
      <c r="F298" s="44"/>
      <c r="G298" s="44"/>
      <c r="H298" s="22" t="str">
        <f t="shared" si="8"/>
        <v/>
      </c>
      <c r="I298" s="23" t="str">
        <f>IF($A298="","",$A298&amp;"#"&amp;COUNTIF($A$2:$A298,$A298))</f>
        <v/>
      </c>
      <c r="J298" s="23" t="str">
        <f t="shared" si="9"/>
        <v/>
      </c>
    </row>
    <row r="299" spans="3:10" x14ac:dyDescent="0.3">
      <c r="C299" s="44"/>
      <c r="D299" s="44"/>
      <c r="E299" s="44"/>
      <c r="F299" s="44"/>
      <c r="G299" s="44"/>
      <c r="H299" s="22" t="str">
        <f t="shared" si="8"/>
        <v/>
      </c>
      <c r="I299" s="23" t="str">
        <f>IF($A299="","",$A299&amp;"#"&amp;COUNTIF($A$2:$A299,$A299))</f>
        <v/>
      </c>
      <c r="J299" s="23" t="str">
        <f t="shared" si="9"/>
        <v/>
      </c>
    </row>
    <row r="300" spans="3:10" x14ac:dyDescent="0.3">
      <c r="C300" s="44"/>
      <c r="D300" s="44"/>
      <c r="E300" s="44"/>
      <c r="F300" s="44"/>
      <c r="G300" s="44"/>
      <c r="H300" s="22" t="str">
        <f t="shared" si="8"/>
        <v/>
      </c>
      <c r="I300" s="23" t="str">
        <f>IF($A300="","",$A300&amp;"#"&amp;COUNTIF($A$2:$A300,$A300))</f>
        <v/>
      </c>
      <c r="J300" s="23" t="str">
        <f t="shared" si="9"/>
        <v/>
      </c>
    </row>
    <row r="301" spans="3:10" x14ac:dyDescent="0.3">
      <c r="C301" s="44"/>
      <c r="D301" s="44"/>
      <c r="E301" s="44"/>
      <c r="F301" s="44"/>
      <c r="G301" s="44"/>
      <c r="H301" s="22" t="str">
        <f t="shared" si="8"/>
        <v/>
      </c>
      <c r="I301" s="23" t="str">
        <f>IF($A301="","",$A301&amp;"#"&amp;COUNTIF($A$2:$A301,$A301))</f>
        <v/>
      </c>
      <c r="J301" s="23" t="str">
        <f t="shared" si="9"/>
        <v/>
      </c>
    </row>
    <row r="302" spans="3:10" x14ac:dyDescent="0.3">
      <c r="C302" s="44"/>
      <c r="D302" s="44"/>
      <c r="E302" s="44"/>
      <c r="F302" s="44"/>
      <c r="G302" s="44"/>
      <c r="H302" s="22" t="str">
        <f t="shared" si="8"/>
        <v/>
      </c>
      <c r="I302" s="23" t="str">
        <f>IF($A302="","",$A302&amp;"#"&amp;COUNTIF($A$2:$A302,$A302))</f>
        <v/>
      </c>
      <c r="J302" s="23" t="str">
        <f t="shared" si="9"/>
        <v/>
      </c>
    </row>
    <row r="303" spans="3:10" x14ac:dyDescent="0.3">
      <c r="C303" s="44"/>
      <c r="D303" s="44"/>
      <c r="E303" s="44"/>
      <c r="F303" s="44"/>
      <c r="G303" s="44"/>
      <c r="H303" s="22" t="str">
        <f t="shared" si="8"/>
        <v/>
      </c>
      <c r="I303" s="23" t="str">
        <f>IF($A303="","",$A303&amp;"#"&amp;COUNTIF($A$2:$A303,$A303))</f>
        <v/>
      </c>
      <c r="J303" s="23" t="str">
        <f t="shared" si="9"/>
        <v/>
      </c>
    </row>
    <row r="304" spans="3:10" x14ac:dyDescent="0.3">
      <c r="C304" s="44"/>
      <c r="D304" s="44"/>
      <c r="E304" s="44"/>
      <c r="F304" s="44"/>
      <c r="G304" s="44"/>
      <c r="H304" s="22" t="str">
        <f t="shared" si="8"/>
        <v/>
      </c>
      <c r="I304" s="23" t="str">
        <f>IF($A304="","",$A304&amp;"#"&amp;COUNTIF($A$2:$A304,$A304))</f>
        <v/>
      </c>
      <c r="J304" s="23" t="str">
        <f t="shared" si="9"/>
        <v/>
      </c>
    </row>
    <row r="305" spans="3:10" x14ac:dyDescent="0.3">
      <c r="C305" s="44"/>
      <c r="D305" s="44"/>
      <c r="E305" s="44"/>
      <c r="F305" s="44"/>
      <c r="G305" s="44"/>
      <c r="H305" s="22" t="str">
        <f t="shared" si="8"/>
        <v/>
      </c>
      <c r="I305" s="23" t="str">
        <f>IF($A305="","",$A305&amp;"#"&amp;COUNTIF($A$2:$A305,$A305))</f>
        <v/>
      </c>
      <c r="J305" s="23" t="str">
        <f t="shared" si="9"/>
        <v/>
      </c>
    </row>
    <row r="306" spans="3:10" x14ac:dyDescent="0.3">
      <c r="C306" s="44"/>
      <c r="D306" s="44"/>
      <c r="E306" s="44"/>
      <c r="F306" s="44"/>
      <c r="G306" s="44"/>
      <c r="H306" s="22" t="str">
        <f t="shared" si="8"/>
        <v/>
      </c>
      <c r="I306" s="23" t="str">
        <f>IF($A306="","",$A306&amp;"#"&amp;COUNTIF($A$2:$A306,$A306))</f>
        <v/>
      </c>
      <c r="J306" s="23" t="str">
        <f t="shared" si="9"/>
        <v/>
      </c>
    </row>
    <row r="307" spans="3:10" x14ac:dyDescent="0.3">
      <c r="C307" s="44"/>
      <c r="D307" s="44"/>
      <c r="E307" s="44"/>
      <c r="F307" s="44"/>
      <c r="G307" s="44"/>
      <c r="H307" s="22" t="str">
        <f t="shared" si="8"/>
        <v/>
      </c>
      <c r="I307" s="23" t="str">
        <f>IF($A307="","",$A307&amp;"#"&amp;COUNTIF($A$2:$A307,$A307))</f>
        <v/>
      </c>
      <c r="J307" s="23" t="str">
        <f t="shared" si="9"/>
        <v/>
      </c>
    </row>
    <row r="308" spans="3:10" x14ac:dyDescent="0.3">
      <c r="C308" s="44"/>
      <c r="D308" s="44"/>
      <c r="E308" s="44"/>
      <c r="F308" s="44"/>
      <c r="G308" s="44"/>
      <c r="H308" s="22" t="str">
        <f t="shared" si="8"/>
        <v/>
      </c>
      <c r="I308" s="23" t="str">
        <f>IF($A308="","",$A308&amp;"#"&amp;COUNTIF($A$2:$A308,$A308))</f>
        <v/>
      </c>
      <c r="J308" s="23" t="str">
        <f t="shared" si="9"/>
        <v/>
      </c>
    </row>
    <row r="309" spans="3:10" x14ac:dyDescent="0.3">
      <c r="C309" s="44"/>
      <c r="D309" s="44"/>
      <c r="E309" s="44"/>
      <c r="F309" s="44"/>
      <c r="G309" s="44"/>
      <c r="H309" s="22" t="str">
        <f t="shared" si="8"/>
        <v/>
      </c>
      <c r="I309" s="23" t="str">
        <f>IF($A309="","",$A309&amp;"#"&amp;COUNTIF($A$2:$A309,$A309))</f>
        <v/>
      </c>
      <c r="J309" s="23" t="str">
        <f t="shared" si="9"/>
        <v/>
      </c>
    </row>
    <row r="310" spans="3:10" x14ac:dyDescent="0.3">
      <c r="C310" s="44"/>
      <c r="D310" s="44"/>
      <c r="E310" s="44"/>
      <c r="F310" s="44"/>
      <c r="G310" s="44"/>
      <c r="H310" s="22" t="str">
        <f t="shared" si="8"/>
        <v/>
      </c>
      <c r="I310" s="23" t="str">
        <f>IF($A310="","",$A310&amp;"#"&amp;COUNTIF($A$2:$A310,$A310))</f>
        <v/>
      </c>
      <c r="J310" s="23" t="str">
        <f t="shared" si="9"/>
        <v/>
      </c>
    </row>
    <row r="311" spans="3:10" x14ac:dyDescent="0.3">
      <c r="C311" s="44"/>
      <c r="D311" s="44"/>
      <c r="E311" s="44"/>
      <c r="F311" s="44"/>
      <c r="G311" s="44"/>
      <c r="H311" s="22" t="str">
        <f t="shared" si="8"/>
        <v/>
      </c>
      <c r="I311" s="23" t="str">
        <f>IF($A311="","",$A311&amp;"#"&amp;COUNTIF($A$2:$A311,$A311))</f>
        <v/>
      </c>
      <c r="J311" s="23" t="str">
        <f t="shared" si="9"/>
        <v/>
      </c>
    </row>
    <row r="312" spans="3:10" x14ac:dyDescent="0.3">
      <c r="C312" s="44"/>
      <c r="D312" s="44"/>
      <c r="E312" s="44"/>
      <c r="F312" s="44"/>
      <c r="G312" s="44"/>
      <c r="H312" s="22" t="str">
        <f t="shared" si="8"/>
        <v/>
      </c>
      <c r="I312" s="23" t="str">
        <f>IF($A312="","",$A312&amp;"#"&amp;COUNTIF($A$2:$A312,$A312))</f>
        <v/>
      </c>
      <c r="J312" s="23" t="str">
        <f t="shared" si="9"/>
        <v/>
      </c>
    </row>
    <row r="313" spans="3:10" x14ac:dyDescent="0.3">
      <c r="C313" s="44"/>
      <c r="D313" s="44"/>
      <c r="E313" s="44"/>
      <c r="F313" s="44"/>
      <c r="G313" s="44"/>
      <c r="H313" s="22" t="str">
        <f t="shared" si="8"/>
        <v/>
      </c>
      <c r="I313" s="23" t="str">
        <f>IF($A313="","",$A313&amp;"#"&amp;COUNTIF($A$2:$A313,$A313))</f>
        <v/>
      </c>
      <c r="J313" s="23" t="str">
        <f t="shared" si="9"/>
        <v/>
      </c>
    </row>
    <row r="314" spans="3:10" x14ac:dyDescent="0.3">
      <c r="C314" s="44"/>
      <c r="D314" s="44"/>
      <c r="E314" s="44"/>
      <c r="F314" s="44"/>
      <c r="G314" s="44"/>
      <c r="H314" s="22" t="str">
        <f t="shared" si="8"/>
        <v/>
      </c>
      <c r="I314" s="23" t="str">
        <f>IF($A314="","",$A314&amp;"#"&amp;COUNTIF($A$2:$A314,$A314))</f>
        <v/>
      </c>
      <c r="J314" s="23" t="str">
        <f t="shared" si="9"/>
        <v/>
      </c>
    </row>
    <row r="315" spans="3:10" x14ac:dyDescent="0.3">
      <c r="C315" s="44"/>
      <c r="D315" s="44"/>
      <c r="E315" s="44"/>
      <c r="F315" s="44"/>
      <c r="G315" s="44"/>
      <c r="H315" s="22" t="str">
        <f t="shared" si="8"/>
        <v/>
      </c>
      <c r="I315" s="23" t="str">
        <f>IF($A315="","",$A315&amp;"#"&amp;COUNTIF($A$2:$A315,$A315))</f>
        <v/>
      </c>
      <c r="J315" s="23" t="str">
        <f t="shared" si="9"/>
        <v/>
      </c>
    </row>
    <row r="316" spans="3:10" x14ac:dyDescent="0.3">
      <c r="C316" s="44"/>
      <c r="D316" s="44"/>
      <c r="E316" s="44"/>
      <c r="F316" s="44"/>
      <c r="G316" s="44"/>
      <c r="H316" s="22" t="str">
        <f t="shared" si="8"/>
        <v/>
      </c>
      <c r="I316" s="23" t="str">
        <f>IF($A316="","",$A316&amp;"#"&amp;COUNTIF($A$2:$A316,$A316))</f>
        <v/>
      </c>
      <c r="J316" s="23" t="str">
        <f t="shared" si="9"/>
        <v/>
      </c>
    </row>
    <row r="317" spans="3:10" x14ac:dyDescent="0.3">
      <c r="C317" s="44"/>
      <c r="D317" s="44"/>
      <c r="E317" s="44"/>
      <c r="F317" s="44"/>
      <c r="G317" s="44"/>
      <c r="H317" s="22" t="str">
        <f t="shared" si="8"/>
        <v/>
      </c>
      <c r="I317" s="23" t="str">
        <f>IF($A317="","",$A317&amp;"#"&amp;COUNTIF($A$2:$A317,$A317))</f>
        <v/>
      </c>
      <c r="J317" s="23" t="str">
        <f t="shared" si="9"/>
        <v/>
      </c>
    </row>
    <row r="318" spans="3:10" x14ac:dyDescent="0.3">
      <c r="C318" s="44"/>
      <c r="D318" s="44"/>
      <c r="E318" s="44"/>
      <c r="F318" s="44"/>
      <c r="G318" s="44"/>
      <c r="H318" s="22" t="str">
        <f t="shared" si="8"/>
        <v/>
      </c>
      <c r="I318" s="23" t="str">
        <f>IF($A318="","",$A318&amp;"#"&amp;COUNTIF($A$2:$A318,$A318))</f>
        <v/>
      </c>
      <c r="J318" s="23" t="str">
        <f t="shared" si="9"/>
        <v/>
      </c>
    </row>
    <row r="319" spans="3:10" x14ac:dyDescent="0.3">
      <c r="C319" s="44"/>
      <c r="D319" s="44"/>
      <c r="E319" s="44"/>
      <c r="F319" s="44"/>
      <c r="G319" s="44"/>
      <c r="H319" s="22" t="str">
        <f t="shared" si="8"/>
        <v/>
      </c>
      <c r="I319" s="23" t="str">
        <f>IF($A319="","",$A319&amp;"#"&amp;COUNTIF($A$2:$A319,$A319))</f>
        <v/>
      </c>
      <c r="J319" s="23" t="str">
        <f t="shared" si="9"/>
        <v/>
      </c>
    </row>
    <row r="320" spans="3:10" x14ac:dyDescent="0.3">
      <c r="C320" s="44"/>
      <c r="D320" s="44"/>
      <c r="E320" s="44"/>
      <c r="F320" s="44"/>
      <c r="G320" s="44"/>
      <c r="H320" s="22" t="str">
        <f t="shared" si="8"/>
        <v/>
      </c>
      <c r="I320" s="23" t="str">
        <f>IF($A320="","",$A320&amp;"#"&amp;COUNTIF($A$2:$A320,$A320))</f>
        <v/>
      </c>
      <c r="J320" s="23" t="str">
        <f t="shared" si="9"/>
        <v/>
      </c>
    </row>
    <row r="321" spans="3:10" x14ac:dyDescent="0.3">
      <c r="C321" s="44"/>
      <c r="D321" s="44"/>
      <c r="E321" s="44"/>
      <c r="F321" s="44"/>
      <c r="G321" s="44"/>
      <c r="H321" s="22" t="str">
        <f t="shared" si="8"/>
        <v/>
      </c>
      <c r="I321" s="23" t="str">
        <f>IF($A321="","",$A321&amp;"#"&amp;COUNTIF($A$2:$A321,$A321))</f>
        <v/>
      </c>
      <c r="J321" s="23" t="str">
        <f t="shared" si="9"/>
        <v/>
      </c>
    </row>
    <row r="322" spans="3:10" x14ac:dyDescent="0.3">
      <c r="C322" s="44"/>
      <c r="D322" s="44"/>
      <c r="E322" s="44"/>
      <c r="F322" s="44"/>
      <c r="G322" s="44"/>
      <c r="H322" s="22" t="str">
        <f t="shared" ref="H322:H385" si="10">IF($A322="","",CHOOSE(WEEKDAY($A322,2),"Δευ","Τρί","Τετ","Πέμ","Παρ","Σάβ","Κυρ"))</f>
        <v/>
      </c>
      <c r="I322" s="23" t="str">
        <f>IF($A322="","",$A322&amp;"#"&amp;COUNTIF($A$2:$A322,$A322))</f>
        <v/>
      </c>
      <c r="J322" s="23" t="str">
        <f t="shared" ref="J322:J385" si="11">IF($A322="","",IF($B322="","",$B322&amp;"  ")&amp;$C322&amp;IF($E322="","","  ("&amp;$E322&amp;")"))</f>
        <v/>
      </c>
    </row>
    <row r="323" spans="3:10" x14ac:dyDescent="0.3">
      <c r="C323" s="44"/>
      <c r="D323" s="44"/>
      <c r="E323" s="44"/>
      <c r="F323" s="44"/>
      <c r="G323" s="44"/>
      <c r="H323" s="22" t="str">
        <f t="shared" si="10"/>
        <v/>
      </c>
      <c r="I323" s="23" t="str">
        <f>IF($A323="","",$A323&amp;"#"&amp;COUNTIF($A$2:$A323,$A323))</f>
        <v/>
      </c>
      <c r="J323" s="23" t="str">
        <f t="shared" si="11"/>
        <v/>
      </c>
    </row>
    <row r="324" spans="3:10" x14ac:dyDescent="0.3">
      <c r="C324" s="44"/>
      <c r="D324" s="44"/>
      <c r="E324" s="44"/>
      <c r="F324" s="44"/>
      <c r="G324" s="44"/>
      <c r="H324" s="22" t="str">
        <f t="shared" si="10"/>
        <v/>
      </c>
      <c r="I324" s="23" t="str">
        <f>IF($A324="","",$A324&amp;"#"&amp;COUNTIF($A$2:$A324,$A324))</f>
        <v/>
      </c>
      <c r="J324" s="23" t="str">
        <f t="shared" si="11"/>
        <v/>
      </c>
    </row>
    <row r="325" spans="3:10" x14ac:dyDescent="0.3">
      <c r="C325" s="44"/>
      <c r="D325" s="44"/>
      <c r="E325" s="44"/>
      <c r="F325" s="44"/>
      <c r="G325" s="44"/>
      <c r="H325" s="22" t="str">
        <f t="shared" si="10"/>
        <v/>
      </c>
      <c r="I325" s="23" t="str">
        <f>IF($A325="","",$A325&amp;"#"&amp;COUNTIF($A$2:$A325,$A325))</f>
        <v/>
      </c>
      <c r="J325" s="23" t="str">
        <f t="shared" si="11"/>
        <v/>
      </c>
    </row>
    <row r="326" spans="3:10" x14ac:dyDescent="0.3">
      <c r="C326" s="44"/>
      <c r="D326" s="44"/>
      <c r="E326" s="44"/>
      <c r="F326" s="44"/>
      <c r="G326" s="44"/>
      <c r="H326" s="22" t="str">
        <f t="shared" si="10"/>
        <v/>
      </c>
      <c r="I326" s="23" t="str">
        <f>IF($A326="","",$A326&amp;"#"&amp;COUNTIF($A$2:$A326,$A326))</f>
        <v/>
      </c>
      <c r="J326" s="23" t="str">
        <f t="shared" si="11"/>
        <v/>
      </c>
    </row>
    <row r="327" spans="3:10" x14ac:dyDescent="0.3">
      <c r="C327" s="44"/>
      <c r="D327" s="44"/>
      <c r="E327" s="44"/>
      <c r="F327" s="44"/>
      <c r="G327" s="44"/>
      <c r="H327" s="22" t="str">
        <f t="shared" si="10"/>
        <v/>
      </c>
      <c r="I327" s="23" t="str">
        <f>IF($A327="","",$A327&amp;"#"&amp;COUNTIF($A$2:$A327,$A327))</f>
        <v/>
      </c>
      <c r="J327" s="23" t="str">
        <f t="shared" si="11"/>
        <v/>
      </c>
    </row>
    <row r="328" spans="3:10" x14ac:dyDescent="0.3">
      <c r="C328" s="44"/>
      <c r="D328" s="44"/>
      <c r="E328" s="44"/>
      <c r="F328" s="44"/>
      <c r="G328" s="44"/>
      <c r="H328" s="22" t="str">
        <f t="shared" si="10"/>
        <v/>
      </c>
      <c r="I328" s="23" t="str">
        <f>IF($A328="","",$A328&amp;"#"&amp;COUNTIF($A$2:$A328,$A328))</f>
        <v/>
      </c>
      <c r="J328" s="23" t="str">
        <f t="shared" si="11"/>
        <v/>
      </c>
    </row>
    <row r="329" spans="3:10" x14ac:dyDescent="0.3">
      <c r="C329" s="44"/>
      <c r="D329" s="44"/>
      <c r="E329" s="44"/>
      <c r="F329" s="44"/>
      <c r="G329" s="44"/>
      <c r="H329" s="22" t="str">
        <f t="shared" si="10"/>
        <v/>
      </c>
      <c r="I329" s="23" t="str">
        <f>IF($A329="","",$A329&amp;"#"&amp;COUNTIF($A$2:$A329,$A329))</f>
        <v/>
      </c>
      <c r="J329" s="23" t="str">
        <f t="shared" si="11"/>
        <v/>
      </c>
    </row>
    <row r="330" spans="3:10" x14ac:dyDescent="0.3">
      <c r="C330" s="44"/>
      <c r="D330" s="44"/>
      <c r="E330" s="44"/>
      <c r="F330" s="44"/>
      <c r="G330" s="44"/>
      <c r="H330" s="22" t="str">
        <f t="shared" si="10"/>
        <v/>
      </c>
      <c r="I330" s="23" t="str">
        <f>IF($A330="","",$A330&amp;"#"&amp;COUNTIF($A$2:$A330,$A330))</f>
        <v/>
      </c>
      <c r="J330" s="23" t="str">
        <f t="shared" si="11"/>
        <v/>
      </c>
    </row>
    <row r="331" spans="3:10" x14ac:dyDescent="0.3">
      <c r="C331" s="44"/>
      <c r="D331" s="44"/>
      <c r="E331" s="44"/>
      <c r="F331" s="44"/>
      <c r="G331" s="44"/>
      <c r="H331" s="22" t="str">
        <f t="shared" si="10"/>
        <v/>
      </c>
      <c r="I331" s="23" t="str">
        <f>IF($A331="","",$A331&amp;"#"&amp;COUNTIF($A$2:$A331,$A331))</f>
        <v/>
      </c>
      <c r="J331" s="23" t="str">
        <f t="shared" si="11"/>
        <v/>
      </c>
    </row>
    <row r="332" spans="3:10" x14ac:dyDescent="0.3">
      <c r="C332" s="44"/>
      <c r="D332" s="44"/>
      <c r="E332" s="44"/>
      <c r="F332" s="44"/>
      <c r="G332" s="44"/>
      <c r="H332" s="22" t="str">
        <f t="shared" si="10"/>
        <v/>
      </c>
      <c r="I332" s="23" t="str">
        <f>IF($A332="","",$A332&amp;"#"&amp;COUNTIF($A$2:$A332,$A332))</f>
        <v/>
      </c>
      <c r="J332" s="23" t="str">
        <f t="shared" si="11"/>
        <v/>
      </c>
    </row>
    <row r="333" spans="3:10" x14ac:dyDescent="0.3">
      <c r="C333" s="44"/>
      <c r="D333" s="44"/>
      <c r="E333" s="44"/>
      <c r="F333" s="44"/>
      <c r="G333" s="44"/>
      <c r="H333" s="22" t="str">
        <f t="shared" si="10"/>
        <v/>
      </c>
      <c r="I333" s="23" t="str">
        <f>IF($A333="","",$A333&amp;"#"&amp;COUNTIF($A$2:$A333,$A333))</f>
        <v/>
      </c>
      <c r="J333" s="23" t="str">
        <f t="shared" si="11"/>
        <v/>
      </c>
    </row>
    <row r="334" spans="3:10" x14ac:dyDescent="0.3">
      <c r="C334" s="44"/>
      <c r="D334" s="44"/>
      <c r="E334" s="44"/>
      <c r="F334" s="44"/>
      <c r="G334" s="44"/>
      <c r="H334" s="22" t="str">
        <f t="shared" si="10"/>
        <v/>
      </c>
      <c r="I334" s="23" t="str">
        <f>IF($A334="","",$A334&amp;"#"&amp;COUNTIF($A$2:$A334,$A334))</f>
        <v/>
      </c>
      <c r="J334" s="23" t="str">
        <f t="shared" si="11"/>
        <v/>
      </c>
    </row>
    <row r="335" spans="3:10" x14ac:dyDescent="0.3">
      <c r="C335" s="44"/>
      <c r="D335" s="44"/>
      <c r="E335" s="44"/>
      <c r="F335" s="44"/>
      <c r="G335" s="44"/>
      <c r="H335" s="22" t="str">
        <f t="shared" si="10"/>
        <v/>
      </c>
      <c r="I335" s="23" t="str">
        <f>IF($A335="","",$A335&amp;"#"&amp;COUNTIF($A$2:$A335,$A335))</f>
        <v/>
      </c>
      <c r="J335" s="23" t="str">
        <f t="shared" si="11"/>
        <v/>
      </c>
    </row>
    <row r="336" spans="3:10" x14ac:dyDescent="0.3">
      <c r="C336" s="44"/>
      <c r="D336" s="44"/>
      <c r="E336" s="44"/>
      <c r="F336" s="44"/>
      <c r="G336" s="44"/>
      <c r="H336" s="22" t="str">
        <f t="shared" si="10"/>
        <v/>
      </c>
      <c r="I336" s="23" t="str">
        <f>IF($A336="","",$A336&amp;"#"&amp;COUNTIF($A$2:$A336,$A336))</f>
        <v/>
      </c>
      <c r="J336" s="23" t="str">
        <f t="shared" si="11"/>
        <v/>
      </c>
    </row>
    <row r="337" spans="3:10" x14ac:dyDescent="0.3">
      <c r="C337" s="44"/>
      <c r="D337" s="44"/>
      <c r="E337" s="44"/>
      <c r="F337" s="44"/>
      <c r="G337" s="44"/>
      <c r="H337" s="22" t="str">
        <f t="shared" si="10"/>
        <v/>
      </c>
      <c r="I337" s="23" t="str">
        <f>IF($A337="","",$A337&amp;"#"&amp;COUNTIF($A$2:$A337,$A337))</f>
        <v/>
      </c>
      <c r="J337" s="23" t="str">
        <f t="shared" si="11"/>
        <v/>
      </c>
    </row>
    <row r="338" spans="3:10" x14ac:dyDescent="0.3">
      <c r="C338" s="44"/>
      <c r="D338" s="44"/>
      <c r="E338" s="44"/>
      <c r="F338" s="44"/>
      <c r="G338" s="44"/>
      <c r="H338" s="22" t="str">
        <f t="shared" si="10"/>
        <v/>
      </c>
      <c r="I338" s="23" t="str">
        <f>IF($A338="","",$A338&amp;"#"&amp;COUNTIF($A$2:$A338,$A338))</f>
        <v/>
      </c>
      <c r="J338" s="23" t="str">
        <f t="shared" si="11"/>
        <v/>
      </c>
    </row>
    <row r="339" spans="3:10" x14ac:dyDescent="0.3">
      <c r="C339" s="44"/>
      <c r="D339" s="44"/>
      <c r="E339" s="44"/>
      <c r="F339" s="44"/>
      <c r="G339" s="44"/>
      <c r="H339" s="22" t="str">
        <f t="shared" si="10"/>
        <v/>
      </c>
      <c r="I339" s="23" t="str">
        <f>IF($A339="","",$A339&amp;"#"&amp;COUNTIF($A$2:$A339,$A339))</f>
        <v/>
      </c>
      <c r="J339" s="23" t="str">
        <f t="shared" si="11"/>
        <v/>
      </c>
    </row>
    <row r="340" spans="3:10" x14ac:dyDescent="0.3">
      <c r="C340" s="44"/>
      <c r="D340" s="44"/>
      <c r="E340" s="44"/>
      <c r="F340" s="44"/>
      <c r="G340" s="44"/>
      <c r="H340" s="22" t="str">
        <f t="shared" si="10"/>
        <v/>
      </c>
      <c r="I340" s="23" t="str">
        <f>IF($A340="","",$A340&amp;"#"&amp;COUNTIF($A$2:$A340,$A340))</f>
        <v/>
      </c>
      <c r="J340" s="23" t="str">
        <f t="shared" si="11"/>
        <v/>
      </c>
    </row>
    <row r="341" spans="3:10" x14ac:dyDescent="0.3">
      <c r="C341" s="44"/>
      <c r="D341" s="44"/>
      <c r="E341" s="44"/>
      <c r="F341" s="44"/>
      <c r="G341" s="44"/>
      <c r="H341" s="22" t="str">
        <f t="shared" si="10"/>
        <v/>
      </c>
      <c r="I341" s="23" t="str">
        <f>IF($A341="","",$A341&amp;"#"&amp;COUNTIF($A$2:$A341,$A341))</f>
        <v/>
      </c>
      <c r="J341" s="23" t="str">
        <f t="shared" si="11"/>
        <v/>
      </c>
    </row>
    <row r="342" spans="3:10" x14ac:dyDescent="0.3">
      <c r="C342" s="44"/>
      <c r="D342" s="44"/>
      <c r="E342" s="44"/>
      <c r="F342" s="44"/>
      <c r="G342" s="44"/>
      <c r="H342" s="22" t="str">
        <f t="shared" si="10"/>
        <v/>
      </c>
      <c r="I342" s="23" t="str">
        <f>IF($A342="","",$A342&amp;"#"&amp;COUNTIF($A$2:$A342,$A342))</f>
        <v/>
      </c>
      <c r="J342" s="23" t="str">
        <f t="shared" si="11"/>
        <v/>
      </c>
    </row>
    <row r="343" spans="3:10" x14ac:dyDescent="0.3">
      <c r="C343" s="44"/>
      <c r="D343" s="44"/>
      <c r="E343" s="44"/>
      <c r="F343" s="44"/>
      <c r="G343" s="44"/>
      <c r="H343" s="22" t="str">
        <f t="shared" si="10"/>
        <v/>
      </c>
      <c r="I343" s="23" t="str">
        <f>IF($A343="","",$A343&amp;"#"&amp;COUNTIF($A$2:$A343,$A343))</f>
        <v/>
      </c>
      <c r="J343" s="23" t="str">
        <f t="shared" si="11"/>
        <v/>
      </c>
    </row>
    <row r="344" spans="3:10" x14ac:dyDescent="0.3">
      <c r="C344" s="44"/>
      <c r="D344" s="44"/>
      <c r="E344" s="44"/>
      <c r="F344" s="44"/>
      <c r="G344" s="44"/>
      <c r="H344" s="22" t="str">
        <f t="shared" si="10"/>
        <v/>
      </c>
      <c r="I344" s="23" t="str">
        <f>IF($A344="","",$A344&amp;"#"&amp;COUNTIF($A$2:$A344,$A344))</f>
        <v/>
      </c>
      <c r="J344" s="23" t="str">
        <f t="shared" si="11"/>
        <v/>
      </c>
    </row>
    <row r="345" spans="3:10" x14ac:dyDescent="0.3">
      <c r="C345" s="44"/>
      <c r="D345" s="44"/>
      <c r="E345" s="44"/>
      <c r="F345" s="44"/>
      <c r="G345" s="44"/>
      <c r="H345" s="22" t="str">
        <f t="shared" si="10"/>
        <v/>
      </c>
      <c r="I345" s="23" t="str">
        <f>IF($A345="","",$A345&amp;"#"&amp;COUNTIF($A$2:$A345,$A345))</f>
        <v/>
      </c>
      <c r="J345" s="23" t="str">
        <f t="shared" si="11"/>
        <v/>
      </c>
    </row>
    <row r="346" spans="3:10" x14ac:dyDescent="0.3">
      <c r="C346" s="44"/>
      <c r="D346" s="44"/>
      <c r="E346" s="44"/>
      <c r="F346" s="44"/>
      <c r="G346" s="44"/>
      <c r="H346" s="22" t="str">
        <f t="shared" si="10"/>
        <v/>
      </c>
      <c r="I346" s="23" t="str">
        <f>IF($A346="","",$A346&amp;"#"&amp;COUNTIF($A$2:$A346,$A346))</f>
        <v/>
      </c>
      <c r="J346" s="23" t="str">
        <f t="shared" si="11"/>
        <v/>
      </c>
    </row>
    <row r="347" spans="3:10" x14ac:dyDescent="0.3">
      <c r="C347" s="44"/>
      <c r="D347" s="44"/>
      <c r="E347" s="44"/>
      <c r="F347" s="44"/>
      <c r="G347" s="44"/>
      <c r="H347" s="22" t="str">
        <f t="shared" si="10"/>
        <v/>
      </c>
      <c r="I347" s="23" t="str">
        <f>IF($A347="","",$A347&amp;"#"&amp;COUNTIF($A$2:$A347,$A347))</f>
        <v/>
      </c>
      <c r="J347" s="23" t="str">
        <f t="shared" si="11"/>
        <v/>
      </c>
    </row>
    <row r="348" spans="3:10" x14ac:dyDescent="0.3">
      <c r="C348" s="44"/>
      <c r="D348" s="44"/>
      <c r="E348" s="44"/>
      <c r="F348" s="44"/>
      <c r="G348" s="44"/>
      <c r="H348" s="22" t="str">
        <f t="shared" si="10"/>
        <v/>
      </c>
      <c r="I348" s="23" t="str">
        <f>IF($A348="","",$A348&amp;"#"&amp;COUNTIF($A$2:$A348,$A348))</f>
        <v/>
      </c>
      <c r="J348" s="23" t="str">
        <f t="shared" si="11"/>
        <v/>
      </c>
    </row>
    <row r="349" spans="3:10" x14ac:dyDescent="0.3">
      <c r="C349" s="44"/>
      <c r="D349" s="44"/>
      <c r="E349" s="44"/>
      <c r="F349" s="44"/>
      <c r="G349" s="44"/>
      <c r="H349" s="22" t="str">
        <f t="shared" si="10"/>
        <v/>
      </c>
      <c r="I349" s="23" t="str">
        <f>IF($A349="","",$A349&amp;"#"&amp;COUNTIF($A$2:$A349,$A349))</f>
        <v/>
      </c>
      <c r="J349" s="23" t="str">
        <f t="shared" si="11"/>
        <v/>
      </c>
    </row>
    <row r="350" spans="3:10" x14ac:dyDescent="0.3">
      <c r="C350" s="44"/>
      <c r="D350" s="44"/>
      <c r="E350" s="44"/>
      <c r="F350" s="44"/>
      <c r="G350" s="44"/>
      <c r="H350" s="22" t="str">
        <f t="shared" si="10"/>
        <v/>
      </c>
      <c r="I350" s="23" t="str">
        <f>IF($A350="","",$A350&amp;"#"&amp;COUNTIF($A$2:$A350,$A350))</f>
        <v/>
      </c>
      <c r="J350" s="23" t="str">
        <f t="shared" si="11"/>
        <v/>
      </c>
    </row>
    <row r="351" spans="3:10" x14ac:dyDescent="0.3">
      <c r="C351" s="44"/>
      <c r="D351" s="44"/>
      <c r="E351" s="44"/>
      <c r="F351" s="44"/>
      <c r="G351" s="44"/>
      <c r="H351" s="22" t="str">
        <f t="shared" si="10"/>
        <v/>
      </c>
      <c r="I351" s="23" t="str">
        <f>IF($A351="","",$A351&amp;"#"&amp;COUNTIF($A$2:$A351,$A351))</f>
        <v/>
      </c>
      <c r="J351" s="23" t="str">
        <f t="shared" si="11"/>
        <v/>
      </c>
    </row>
    <row r="352" spans="3:10" x14ac:dyDescent="0.3">
      <c r="C352" s="44"/>
      <c r="D352" s="44"/>
      <c r="E352" s="44"/>
      <c r="F352" s="44"/>
      <c r="G352" s="44"/>
      <c r="H352" s="22" t="str">
        <f t="shared" si="10"/>
        <v/>
      </c>
      <c r="I352" s="23" t="str">
        <f>IF($A352="","",$A352&amp;"#"&amp;COUNTIF($A$2:$A352,$A352))</f>
        <v/>
      </c>
      <c r="J352" s="23" t="str">
        <f t="shared" si="11"/>
        <v/>
      </c>
    </row>
    <row r="353" spans="3:10" x14ac:dyDescent="0.3">
      <c r="C353" s="44"/>
      <c r="D353" s="44"/>
      <c r="E353" s="44"/>
      <c r="F353" s="44"/>
      <c r="G353" s="44"/>
      <c r="H353" s="22" t="str">
        <f t="shared" si="10"/>
        <v/>
      </c>
      <c r="I353" s="23" t="str">
        <f>IF($A353="","",$A353&amp;"#"&amp;COUNTIF($A$2:$A353,$A353))</f>
        <v/>
      </c>
      <c r="J353" s="23" t="str">
        <f t="shared" si="11"/>
        <v/>
      </c>
    </row>
    <row r="354" spans="3:10" x14ac:dyDescent="0.3">
      <c r="C354" s="44"/>
      <c r="D354" s="44"/>
      <c r="E354" s="44"/>
      <c r="F354" s="44"/>
      <c r="G354" s="44"/>
      <c r="H354" s="22" t="str">
        <f t="shared" si="10"/>
        <v/>
      </c>
      <c r="I354" s="23" t="str">
        <f>IF($A354="","",$A354&amp;"#"&amp;COUNTIF($A$2:$A354,$A354))</f>
        <v/>
      </c>
      <c r="J354" s="23" t="str">
        <f t="shared" si="11"/>
        <v/>
      </c>
    </row>
    <row r="355" spans="3:10" x14ac:dyDescent="0.3">
      <c r="C355" s="44"/>
      <c r="D355" s="44"/>
      <c r="E355" s="44"/>
      <c r="F355" s="44"/>
      <c r="G355" s="44"/>
      <c r="H355" s="22" t="str">
        <f t="shared" si="10"/>
        <v/>
      </c>
      <c r="I355" s="23" t="str">
        <f>IF($A355="","",$A355&amp;"#"&amp;COUNTIF($A$2:$A355,$A355))</f>
        <v/>
      </c>
      <c r="J355" s="23" t="str">
        <f t="shared" si="11"/>
        <v/>
      </c>
    </row>
    <row r="356" spans="3:10" x14ac:dyDescent="0.3">
      <c r="C356" s="44"/>
      <c r="D356" s="44"/>
      <c r="E356" s="44"/>
      <c r="F356" s="44"/>
      <c r="G356" s="44"/>
      <c r="H356" s="22" t="str">
        <f t="shared" si="10"/>
        <v/>
      </c>
      <c r="I356" s="23" t="str">
        <f>IF($A356="","",$A356&amp;"#"&amp;COUNTIF($A$2:$A356,$A356))</f>
        <v/>
      </c>
      <c r="J356" s="23" t="str">
        <f t="shared" si="11"/>
        <v/>
      </c>
    </row>
    <row r="357" spans="3:10" x14ac:dyDescent="0.3">
      <c r="C357" s="44"/>
      <c r="D357" s="44"/>
      <c r="E357" s="44"/>
      <c r="F357" s="44"/>
      <c r="G357" s="44"/>
      <c r="H357" s="22" t="str">
        <f t="shared" si="10"/>
        <v/>
      </c>
      <c r="I357" s="23" t="str">
        <f>IF($A357="","",$A357&amp;"#"&amp;COUNTIF($A$2:$A357,$A357))</f>
        <v/>
      </c>
      <c r="J357" s="23" t="str">
        <f t="shared" si="11"/>
        <v/>
      </c>
    </row>
    <row r="358" spans="3:10" x14ac:dyDescent="0.3">
      <c r="C358" s="44"/>
      <c r="D358" s="44"/>
      <c r="E358" s="44"/>
      <c r="F358" s="44"/>
      <c r="G358" s="44"/>
      <c r="H358" s="22" t="str">
        <f t="shared" si="10"/>
        <v/>
      </c>
      <c r="I358" s="23" t="str">
        <f>IF($A358="","",$A358&amp;"#"&amp;COUNTIF($A$2:$A358,$A358))</f>
        <v/>
      </c>
      <c r="J358" s="23" t="str">
        <f t="shared" si="11"/>
        <v/>
      </c>
    </row>
    <row r="359" spans="3:10" x14ac:dyDescent="0.3">
      <c r="C359" s="44"/>
      <c r="D359" s="44"/>
      <c r="E359" s="44"/>
      <c r="F359" s="44"/>
      <c r="G359" s="44"/>
      <c r="H359" s="22" t="str">
        <f t="shared" si="10"/>
        <v/>
      </c>
      <c r="I359" s="23" t="str">
        <f>IF($A359="","",$A359&amp;"#"&amp;COUNTIF($A$2:$A359,$A359))</f>
        <v/>
      </c>
      <c r="J359" s="23" t="str">
        <f t="shared" si="11"/>
        <v/>
      </c>
    </row>
    <row r="360" spans="3:10" x14ac:dyDescent="0.3">
      <c r="C360" s="44"/>
      <c r="D360" s="44"/>
      <c r="E360" s="44"/>
      <c r="F360" s="44"/>
      <c r="G360" s="44"/>
      <c r="H360" s="22" t="str">
        <f t="shared" si="10"/>
        <v/>
      </c>
      <c r="I360" s="23" t="str">
        <f>IF($A360="","",$A360&amp;"#"&amp;COUNTIF($A$2:$A360,$A360))</f>
        <v/>
      </c>
      <c r="J360" s="23" t="str">
        <f t="shared" si="11"/>
        <v/>
      </c>
    </row>
    <row r="361" spans="3:10" x14ac:dyDescent="0.3">
      <c r="C361" s="44"/>
      <c r="D361" s="44"/>
      <c r="E361" s="44"/>
      <c r="F361" s="44"/>
      <c r="G361" s="44"/>
      <c r="H361" s="22" t="str">
        <f t="shared" si="10"/>
        <v/>
      </c>
      <c r="I361" s="23" t="str">
        <f>IF($A361="","",$A361&amp;"#"&amp;COUNTIF($A$2:$A361,$A361))</f>
        <v/>
      </c>
      <c r="J361" s="23" t="str">
        <f t="shared" si="11"/>
        <v/>
      </c>
    </row>
    <row r="362" spans="3:10" x14ac:dyDescent="0.3">
      <c r="C362" s="44"/>
      <c r="D362" s="44"/>
      <c r="E362" s="44"/>
      <c r="F362" s="44"/>
      <c r="G362" s="44"/>
      <c r="H362" s="22" t="str">
        <f t="shared" si="10"/>
        <v/>
      </c>
      <c r="I362" s="23" t="str">
        <f>IF($A362="","",$A362&amp;"#"&amp;COUNTIF($A$2:$A362,$A362))</f>
        <v/>
      </c>
      <c r="J362" s="23" t="str">
        <f t="shared" si="11"/>
        <v/>
      </c>
    </row>
    <row r="363" spans="3:10" x14ac:dyDescent="0.3">
      <c r="C363" s="44"/>
      <c r="D363" s="44"/>
      <c r="E363" s="44"/>
      <c r="F363" s="44"/>
      <c r="G363" s="44"/>
      <c r="H363" s="22" t="str">
        <f t="shared" si="10"/>
        <v/>
      </c>
      <c r="I363" s="23" t="str">
        <f>IF($A363="","",$A363&amp;"#"&amp;COUNTIF($A$2:$A363,$A363))</f>
        <v/>
      </c>
      <c r="J363" s="23" t="str">
        <f t="shared" si="11"/>
        <v/>
      </c>
    </row>
    <row r="364" spans="3:10" x14ac:dyDescent="0.3">
      <c r="C364" s="44"/>
      <c r="D364" s="44"/>
      <c r="E364" s="44"/>
      <c r="F364" s="44"/>
      <c r="G364" s="44"/>
      <c r="H364" s="22" t="str">
        <f t="shared" si="10"/>
        <v/>
      </c>
      <c r="I364" s="23" t="str">
        <f>IF($A364="","",$A364&amp;"#"&amp;COUNTIF($A$2:$A364,$A364))</f>
        <v/>
      </c>
      <c r="J364" s="23" t="str">
        <f t="shared" si="11"/>
        <v/>
      </c>
    </row>
    <row r="365" spans="3:10" x14ac:dyDescent="0.3">
      <c r="C365" s="44"/>
      <c r="D365" s="44"/>
      <c r="E365" s="44"/>
      <c r="F365" s="44"/>
      <c r="G365" s="44"/>
      <c r="H365" s="22" t="str">
        <f t="shared" si="10"/>
        <v/>
      </c>
      <c r="I365" s="23" t="str">
        <f>IF($A365="","",$A365&amp;"#"&amp;COUNTIF($A$2:$A365,$A365))</f>
        <v/>
      </c>
      <c r="J365" s="23" t="str">
        <f t="shared" si="11"/>
        <v/>
      </c>
    </row>
    <row r="366" spans="3:10" x14ac:dyDescent="0.3">
      <c r="C366" s="44"/>
      <c r="D366" s="44"/>
      <c r="E366" s="44"/>
      <c r="F366" s="44"/>
      <c r="G366" s="44"/>
      <c r="H366" s="22" t="str">
        <f t="shared" si="10"/>
        <v/>
      </c>
      <c r="I366" s="23" t="str">
        <f>IF($A366="","",$A366&amp;"#"&amp;COUNTIF($A$2:$A366,$A366))</f>
        <v/>
      </c>
      <c r="J366" s="23" t="str">
        <f t="shared" si="11"/>
        <v/>
      </c>
    </row>
    <row r="367" spans="3:10" x14ac:dyDescent="0.3">
      <c r="C367" s="44"/>
      <c r="D367" s="44"/>
      <c r="E367" s="44"/>
      <c r="F367" s="44"/>
      <c r="G367" s="44"/>
      <c r="H367" s="22" t="str">
        <f t="shared" si="10"/>
        <v/>
      </c>
      <c r="I367" s="23" t="str">
        <f>IF($A367="","",$A367&amp;"#"&amp;COUNTIF($A$2:$A367,$A367))</f>
        <v/>
      </c>
      <c r="J367" s="23" t="str">
        <f t="shared" si="11"/>
        <v/>
      </c>
    </row>
    <row r="368" spans="3:10" x14ac:dyDescent="0.3">
      <c r="C368" s="44"/>
      <c r="D368" s="44"/>
      <c r="E368" s="44"/>
      <c r="F368" s="44"/>
      <c r="G368" s="44"/>
      <c r="H368" s="22" t="str">
        <f t="shared" si="10"/>
        <v/>
      </c>
      <c r="I368" s="23" t="str">
        <f>IF($A368="","",$A368&amp;"#"&amp;COUNTIF($A$2:$A368,$A368))</f>
        <v/>
      </c>
      <c r="J368" s="23" t="str">
        <f t="shared" si="11"/>
        <v/>
      </c>
    </row>
    <row r="369" spans="3:10" x14ac:dyDescent="0.3">
      <c r="C369" s="44"/>
      <c r="D369" s="44"/>
      <c r="E369" s="44"/>
      <c r="F369" s="44"/>
      <c r="G369" s="44"/>
      <c r="H369" s="22" t="str">
        <f t="shared" si="10"/>
        <v/>
      </c>
      <c r="I369" s="23" t="str">
        <f>IF($A369="","",$A369&amp;"#"&amp;COUNTIF($A$2:$A369,$A369))</f>
        <v/>
      </c>
      <c r="J369" s="23" t="str">
        <f t="shared" si="11"/>
        <v/>
      </c>
    </row>
    <row r="370" spans="3:10" x14ac:dyDescent="0.3">
      <c r="C370" s="44"/>
      <c r="D370" s="44"/>
      <c r="E370" s="44"/>
      <c r="F370" s="44"/>
      <c r="G370" s="44"/>
      <c r="H370" s="22" t="str">
        <f t="shared" si="10"/>
        <v/>
      </c>
      <c r="I370" s="23" t="str">
        <f>IF($A370="","",$A370&amp;"#"&amp;COUNTIF($A$2:$A370,$A370))</f>
        <v/>
      </c>
      <c r="J370" s="23" t="str">
        <f t="shared" si="11"/>
        <v/>
      </c>
    </row>
    <row r="371" spans="3:10" x14ac:dyDescent="0.3">
      <c r="C371" s="44"/>
      <c r="D371" s="44"/>
      <c r="E371" s="44"/>
      <c r="F371" s="44"/>
      <c r="G371" s="44"/>
      <c r="H371" s="22" t="str">
        <f t="shared" si="10"/>
        <v/>
      </c>
      <c r="I371" s="23" t="str">
        <f>IF($A371="","",$A371&amp;"#"&amp;COUNTIF($A$2:$A371,$A371))</f>
        <v/>
      </c>
      <c r="J371" s="23" t="str">
        <f t="shared" si="11"/>
        <v/>
      </c>
    </row>
    <row r="372" spans="3:10" x14ac:dyDescent="0.3">
      <c r="C372" s="44"/>
      <c r="D372" s="44"/>
      <c r="E372" s="44"/>
      <c r="F372" s="44"/>
      <c r="G372" s="44"/>
      <c r="H372" s="22" t="str">
        <f t="shared" si="10"/>
        <v/>
      </c>
      <c r="I372" s="23" t="str">
        <f>IF($A372="","",$A372&amp;"#"&amp;COUNTIF($A$2:$A372,$A372))</f>
        <v/>
      </c>
      <c r="J372" s="23" t="str">
        <f t="shared" si="11"/>
        <v/>
      </c>
    </row>
    <row r="373" spans="3:10" x14ac:dyDescent="0.3">
      <c r="C373" s="44"/>
      <c r="D373" s="44"/>
      <c r="E373" s="44"/>
      <c r="F373" s="44"/>
      <c r="G373" s="44"/>
      <c r="H373" s="22" t="str">
        <f t="shared" si="10"/>
        <v/>
      </c>
      <c r="I373" s="23" t="str">
        <f>IF($A373="","",$A373&amp;"#"&amp;COUNTIF($A$2:$A373,$A373))</f>
        <v/>
      </c>
      <c r="J373" s="23" t="str">
        <f t="shared" si="11"/>
        <v/>
      </c>
    </row>
    <row r="374" spans="3:10" x14ac:dyDescent="0.3">
      <c r="C374" s="44"/>
      <c r="D374" s="44"/>
      <c r="E374" s="44"/>
      <c r="F374" s="44"/>
      <c r="G374" s="44"/>
      <c r="H374" s="22" t="str">
        <f t="shared" si="10"/>
        <v/>
      </c>
      <c r="I374" s="23" t="str">
        <f>IF($A374="","",$A374&amp;"#"&amp;COUNTIF($A$2:$A374,$A374))</f>
        <v/>
      </c>
      <c r="J374" s="23" t="str">
        <f t="shared" si="11"/>
        <v/>
      </c>
    </row>
    <row r="375" spans="3:10" x14ac:dyDescent="0.3">
      <c r="C375" s="44"/>
      <c r="D375" s="44"/>
      <c r="E375" s="44"/>
      <c r="F375" s="44"/>
      <c r="G375" s="44"/>
      <c r="H375" s="22" t="str">
        <f t="shared" si="10"/>
        <v/>
      </c>
      <c r="I375" s="23" t="str">
        <f>IF($A375="","",$A375&amp;"#"&amp;COUNTIF($A$2:$A375,$A375))</f>
        <v/>
      </c>
      <c r="J375" s="23" t="str">
        <f t="shared" si="11"/>
        <v/>
      </c>
    </row>
    <row r="376" spans="3:10" x14ac:dyDescent="0.3">
      <c r="C376" s="44"/>
      <c r="D376" s="44"/>
      <c r="E376" s="44"/>
      <c r="F376" s="44"/>
      <c r="G376" s="44"/>
      <c r="H376" s="22" t="str">
        <f t="shared" si="10"/>
        <v/>
      </c>
      <c r="I376" s="23" t="str">
        <f>IF($A376="","",$A376&amp;"#"&amp;COUNTIF($A$2:$A376,$A376))</f>
        <v/>
      </c>
      <c r="J376" s="23" t="str">
        <f t="shared" si="11"/>
        <v/>
      </c>
    </row>
    <row r="377" spans="3:10" x14ac:dyDescent="0.3">
      <c r="C377" s="44"/>
      <c r="D377" s="44"/>
      <c r="E377" s="44"/>
      <c r="F377" s="44"/>
      <c r="G377" s="44"/>
      <c r="H377" s="22" t="str">
        <f t="shared" si="10"/>
        <v/>
      </c>
      <c r="I377" s="23" t="str">
        <f>IF($A377="","",$A377&amp;"#"&amp;COUNTIF($A$2:$A377,$A377))</f>
        <v/>
      </c>
      <c r="J377" s="23" t="str">
        <f t="shared" si="11"/>
        <v/>
      </c>
    </row>
    <row r="378" spans="3:10" x14ac:dyDescent="0.3">
      <c r="C378" s="44"/>
      <c r="D378" s="44"/>
      <c r="E378" s="44"/>
      <c r="F378" s="44"/>
      <c r="G378" s="44"/>
      <c r="H378" s="22" t="str">
        <f t="shared" si="10"/>
        <v/>
      </c>
      <c r="I378" s="23" t="str">
        <f>IF($A378="","",$A378&amp;"#"&amp;COUNTIF($A$2:$A378,$A378))</f>
        <v/>
      </c>
      <c r="J378" s="23" t="str">
        <f t="shared" si="11"/>
        <v/>
      </c>
    </row>
    <row r="379" spans="3:10" x14ac:dyDescent="0.3">
      <c r="C379" s="44"/>
      <c r="D379" s="44"/>
      <c r="E379" s="44"/>
      <c r="F379" s="44"/>
      <c r="G379" s="44"/>
      <c r="H379" s="22" t="str">
        <f t="shared" si="10"/>
        <v/>
      </c>
      <c r="I379" s="23" t="str">
        <f>IF($A379="","",$A379&amp;"#"&amp;COUNTIF($A$2:$A379,$A379))</f>
        <v/>
      </c>
      <c r="J379" s="23" t="str">
        <f t="shared" si="11"/>
        <v/>
      </c>
    </row>
    <row r="380" spans="3:10" x14ac:dyDescent="0.3">
      <c r="C380" s="44"/>
      <c r="D380" s="44"/>
      <c r="E380" s="44"/>
      <c r="F380" s="44"/>
      <c r="G380" s="44"/>
      <c r="H380" s="22" t="str">
        <f t="shared" si="10"/>
        <v/>
      </c>
      <c r="I380" s="23" t="str">
        <f>IF($A380="","",$A380&amp;"#"&amp;COUNTIF($A$2:$A380,$A380))</f>
        <v/>
      </c>
      <c r="J380" s="23" t="str">
        <f t="shared" si="11"/>
        <v/>
      </c>
    </row>
    <row r="381" spans="3:10" x14ac:dyDescent="0.3">
      <c r="C381" s="44"/>
      <c r="D381" s="44"/>
      <c r="E381" s="44"/>
      <c r="F381" s="44"/>
      <c r="G381" s="44"/>
      <c r="H381" s="22" t="str">
        <f t="shared" si="10"/>
        <v/>
      </c>
      <c r="I381" s="23" t="str">
        <f>IF($A381="","",$A381&amp;"#"&amp;COUNTIF($A$2:$A381,$A381))</f>
        <v/>
      </c>
      <c r="J381" s="23" t="str">
        <f t="shared" si="11"/>
        <v/>
      </c>
    </row>
    <row r="382" spans="3:10" x14ac:dyDescent="0.3">
      <c r="C382" s="44"/>
      <c r="D382" s="44"/>
      <c r="E382" s="44"/>
      <c r="F382" s="44"/>
      <c r="G382" s="44"/>
      <c r="H382" s="22" t="str">
        <f t="shared" si="10"/>
        <v/>
      </c>
      <c r="I382" s="23" t="str">
        <f>IF($A382="","",$A382&amp;"#"&amp;COUNTIF($A$2:$A382,$A382))</f>
        <v/>
      </c>
      <c r="J382" s="23" t="str">
        <f t="shared" si="11"/>
        <v/>
      </c>
    </row>
    <row r="383" spans="3:10" x14ac:dyDescent="0.3">
      <c r="C383" s="44"/>
      <c r="D383" s="44"/>
      <c r="E383" s="44"/>
      <c r="F383" s="44"/>
      <c r="G383" s="44"/>
      <c r="H383" s="22" t="str">
        <f t="shared" si="10"/>
        <v/>
      </c>
      <c r="I383" s="23" t="str">
        <f>IF($A383="","",$A383&amp;"#"&amp;COUNTIF($A$2:$A383,$A383))</f>
        <v/>
      </c>
      <c r="J383" s="23" t="str">
        <f t="shared" si="11"/>
        <v/>
      </c>
    </row>
    <row r="384" spans="3:10" x14ac:dyDescent="0.3">
      <c r="C384" s="44"/>
      <c r="D384" s="44"/>
      <c r="E384" s="44"/>
      <c r="F384" s="44"/>
      <c r="G384" s="44"/>
      <c r="H384" s="22" t="str">
        <f t="shared" si="10"/>
        <v/>
      </c>
      <c r="I384" s="23" t="str">
        <f>IF($A384="","",$A384&amp;"#"&amp;COUNTIF($A$2:$A384,$A384))</f>
        <v/>
      </c>
      <c r="J384" s="23" t="str">
        <f t="shared" si="11"/>
        <v/>
      </c>
    </row>
    <row r="385" spans="3:10" x14ac:dyDescent="0.3">
      <c r="C385" s="44"/>
      <c r="D385" s="44"/>
      <c r="E385" s="44"/>
      <c r="F385" s="44"/>
      <c r="G385" s="44"/>
      <c r="H385" s="22" t="str">
        <f t="shared" si="10"/>
        <v/>
      </c>
      <c r="I385" s="23" t="str">
        <f>IF($A385="","",$A385&amp;"#"&amp;COUNTIF($A$2:$A385,$A385))</f>
        <v/>
      </c>
      <c r="J385" s="23" t="str">
        <f t="shared" si="11"/>
        <v/>
      </c>
    </row>
    <row r="386" spans="3:10" x14ac:dyDescent="0.3">
      <c r="C386" s="44"/>
      <c r="D386" s="44"/>
      <c r="E386" s="44"/>
      <c r="F386" s="44"/>
      <c r="G386" s="44"/>
      <c r="H386" s="22" t="str">
        <f t="shared" ref="H386:H399" si="12">IF($A386="","",CHOOSE(WEEKDAY($A386,2),"Δευ","Τρί","Τετ","Πέμ","Παρ","Σάβ","Κυρ"))</f>
        <v/>
      </c>
      <c r="I386" s="23" t="str">
        <f>IF($A386="","",$A386&amp;"#"&amp;COUNTIF($A$2:$A386,$A386))</f>
        <v/>
      </c>
      <c r="J386" s="23" t="str">
        <f t="shared" ref="J386:J399" si="13">IF($A386="","",IF($B386="","",$B386&amp;"  ")&amp;$C386&amp;IF($E386="","","  ("&amp;$E386&amp;")"))</f>
        <v/>
      </c>
    </row>
    <row r="387" spans="3:10" x14ac:dyDescent="0.3">
      <c r="C387" s="44"/>
      <c r="D387" s="44"/>
      <c r="E387" s="44"/>
      <c r="F387" s="44"/>
      <c r="G387" s="44"/>
      <c r="H387" s="22" t="str">
        <f t="shared" si="12"/>
        <v/>
      </c>
      <c r="I387" s="23" t="str">
        <f>IF($A387="","",$A387&amp;"#"&amp;COUNTIF($A$2:$A387,$A387))</f>
        <v/>
      </c>
      <c r="J387" s="23" t="str">
        <f t="shared" si="13"/>
        <v/>
      </c>
    </row>
    <row r="388" spans="3:10" x14ac:dyDescent="0.3">
      <c r="C388" s="44"/>
      <c r="D388" s="44"/>
      <c r="E388" s="44"/>
      <c r="F388" s="44"/>
      <c r="G388" s="44"/>
      <c r="H388" s="22" t="str">
        <f t="shared" si="12"/>
        <v/>
      </c>
      <c r="I388" s="23" t="str">
        <f>IF($A388="","",$A388&amp;"#"&amp;COUNTIF($A$2:$A388,$A388))</f>
        <v/>
      </c>
      <c r="J388" s="23" t="str">
        <f t="shared" si="13"/>
        <v/>
      </c>
    </row>
    <row r="389" spans="3:10" x14ac:dyDescent="0.3">
      <c r="C389" s="44"/>
      <c r="D389" s="44"/>
      <c r="E389" s="44"/>
      <c r="F389" s="44"/>
      <c r="G389" s="44"/>
      <c r="H389" s="22" t="str">
        <f t="shared" si="12"/>
        <v/>
      </c>
      <c r="I389" s="23" t="str">
        <f>IF($A389="","",$A389&amp;"#"&amp;COUNTIF($A$2:$A389,$A389))</f>
        <v/>
      </c>
      <c r="J389" s="23" t="str">
        <f t="shared" si="13"/>
        <v/>
      </c>
    </row>
    <row r="390" spans="3:10" x14ac:dyDescent="0.3">
      <c r="C390" s="44"/>
      <c r="D390" s="44"/>
      <c r="E390" s="44"/>
      <c r="F390" s="44"/>
      <c r="G390" s="44"/>
      <c r="H390" s="22" t="str">
        <f t="shared" si="12"/>
        <v/>
      </c>
      <c r="I390" s="23" t="str">
        <f>IF($A390="","",$A390&amp;"#"&amp;COUNTIF($A$2:$A390,$A390))</f>
        <v/>
      </c>
      <c r="J390" s="23" t="str">
        <f t="shared" si="13"/>
        <v/>
      </c>
    </row>
    <row r="391" spans="3:10" x14ac:dyDescent="0.3">
      <c r="C391" s="44"/>
      <c r="D391" s="44"/>
      <c r="E391" s="44"/>
      <c r="F391" s="44"/>
      <c r="G391" s="44"/>
      <c r="H391" s="22" t="str">
        <f t="shared" si="12"/>
        <v/>
      </c>
      <c r="I391" s="23" t="str">
        <f>IF($A391="","",$A391&amp;"#"&amp;COUNTIF($A$2:$A391,$A391))</f>
        <v/>
      </c>
      <c r="J391" s="23" t="str">
        <f t="shared" si="13"/>
        <v/>
      </c>
    </row>
    <row r="392" spans="3:10" x14ac:dyDescent="0.3">
      <c r="C392" s="44"/>
      <c r="D392" s="44"/>
      <c r="E392" s="44"/>
      <c r="F392" s="44"/>
      <c r="G392" s="44"/>
      <c r="H392" s="22" t="str">
        <f t="shared" si="12"/>
        <v/>
      </c>
      <c r="I392" s="23" t="str">
        <f>IF($A392="","",$A392&amp;"#"&amp;COUNTIF($A$2:$A392,$A392))</f>
        <v/>
      </c>
      <c r="J392" s="23" t="str">
        <f t="shared" si="13"/>
        <v/>
      </c>
    </row>
    <row r="393" spans="3:10" x14ac:dyDescent="0.3">
      <c r="C393" s="44"/>
      <c r="D393" s="44"/>
      <c r="E393" s="44"/>
      <c r="F393" s="44"/>
      <c r="G393" s="44"/>
      <c r="H393" s="22" t="str">
        <f t="shared" si="12"/>
        <v/>
      </c>
      <c r="I393" s="23" t="str">
        <f>IF($A393="","",$A393&amp;"#"&amp;COUNTIF($A$2:$A393,$A393))</f>
        <v/>
      </c>
      <c r="J393" s="23" t="str">
        <f t="shared" si="13"/>
        <v/>
      </c>
    </row>
    <row r="394" spans="3:10" x14ac:dyDescent="0.3">
      <c r="C394" s="44"/>
      <c r="D394" s="44"/>
      <c r="E394" s="44"/>
      <c r="F394" s="44"/>
      <c r="G394" s="44"/>
      <c r="H394" s="22" t="str">
        <f t="shared" si="12"/>
        <v/>
      </c>
      <c r="I394" s="23" t="str">
        <f>IF($A394="","",$A394&amp;"#"&amp;COUNTIF($A$2:$A394,$A394))</f>
        <v/>
      </c>
      <c r="J394" s="23" t="str">
        <f t="shared" si="13"/>
        <v/>
      </c>
    </row>
    <row r="395" spans="3:10" x14ac:dyDescent="0.3">
      <c r="C395" s="44"/>
      <c r="D395" s="44"/>
      <c r="E395" s="44"/>
      <c r="F395" s="44"/>
      <c r="G395" s="44"/>
      <c r="H395" s="22" t="str">
        <f t="shared" si="12"/>
        <v/>
      </c>
      <c r="I395" s="23" t="str">
        <f>IF($A395="","",$A395&amp;"#"&amp;COUNTIF($A$2:$A395,$A395))</f>
        <v/>
      </c>
      <c r="J395" s="23" t="str">
        <f t="shared" si="13"/>
        <v/>
      </c>
    </row>
    <row r="396" spans="3:10" x14ac:dyDescent="0.3">
      <c r="C396" s="44"/>
      <c r="D396" s="44"/>
      <c r="E396" s="44"/>
      <c r="F396" s="44"/>
      <c r="G396" s="44"/>
      <c r="H396" s="22" t="str">
        <f t="shared" si="12"/>
        <v/>
      </c>
      <c r="I396" s="23" t="str">
        <f>IF($A396="","",$A396&amp;"#"&amp;COUNTIF($A$2:$A396,$A396))</f>
        <v/>
      </c>
      <c r="J396" s="23" t="str">
        <f t="shared" si="13"/>
        <v/>
      </c>
    </row>
    <row r="397" spans="3:10" x14ac:dyDescent="0.3">
      <c r="C397" s="44"/>
      <c r="D397" s="44"/>
      <c r="E397" s="44"/>
      <c r="F397" s="44"/>
      <c r="G397" s="44"/>
      <c r="H397" s="22" t="str">
        <f t="shared" si="12"/>
        <v/>
      </c>
      <c r="I397" s="23" t="str">
        <f>IF($A397="","",$A397&amp;"#"&amp;COUNTIF($A$2:$A397,$A397))</f>
        <v/>
      </c>
      <c r="J397" s="23" t="str">
        <f t="shared" si="13"/>
        <v/>
      </c>
    </row>
    <row r="398" spans="3:10" x14ac:dyDescent="0.3">
      <c r="C398" s="44"/>
      <c r="D398" s="44"/>
      <c r="E398" s="44"/>
      <c r="F398" s="44"/>
      <c r="G398" s="44"/>
      <c r="H398" s="22" t="str">
        <f t="shared" si="12"/>
        <v/>
      </c>
      <c r="I398" s="23" t="str">
        <f>IF($A398="","",$A398&amp;"#"&amp;COUNTIF($A$2:$A398,$A398))</f>
        <v/>
      </c>
      <c r="J398" s="23" t="str">
        <f t="shared" si="13"/>
        <v/>
      </c>
    </row>
    <row r="399" spans="3:10" x14ac:dyDescent="0.3">
      <c r="C399" s="44"/>
      <c r="D399" s="44"/>
      <c r="E399" s="44"/>
      <c r="F399" s="44"/>
      <c r="G399" s="44"/>
      <c r="H399" s="22" t="str">
        <f t="shared" si="12"/>
        <v/>
      </c>
      <c r="I399" s="23" t="str">
        <f>IF($A399="","",$A399&amp;"#"&amp;COUNTIF($A$2:$A399,$A399))</f>
        <v/>
      </c>
      <c r="J399" s="23" t="str">
        <f t="shared" si="13"/>
        <v/>
      </c>
    </row>
  </sheetData>
  <autoFilter ref="A1:J399" xr:uid="{00000000-0001-0000-0200-000000000000}">
    <sortState xmlns:xlrd2="http://schemas.microsoft.com/office/spreadsheetml/2017/richdata2" ref="A2:J399">
      <sortCondition ref="A1:A399"/>
    </sortState>
  </autoFilter>
  <conditionalFormatting sqref="A2:G399">
    <cfRule type="expression" dxfId="44" priority="2">
      <formula>$D2="Αργία / Διακοπές"</formula>
    </cfRule>
    <cfRule type="expression" dxfId="43" priority="3">
      <formula>$D2="Εορτή / Εκκλησιασμός"</formula>
    </cfRule>
    <cfRule type="expression" dxfId="42" priority="4">
      <formula>$D2="Εκδρομή / Επίσκεψη / Περίπατος"</formula>
    </cfRule>
    <cfRule type="expression" dxfId="41" priority="5">
      <formula>$D2="Σύλλογος διδασκόντων"</formula>
    </cfRule>
    <cfRule type="expression" dxfId="40" priority="6">
      <formula>$D2="Ενημέρωση γονέων / Έλεγχοι"</formula>
    </cfRule>
    <cfRule type="expression" dxfId="39" priority="7">
      <formula>$D2="Ορόσημο / Εξετάσεις"</formula>
    </cfRule>
    <cfRule type="expression" dxfId="38" priority="8">
      <formula>$D2="Επιμόρφωση εκπαιδευτικών"</formula>
    </cfRule>
    <cfRule type="expression" dxfId="37" priority="9">
      <formula>$D2="Δράση / Πρόγραμμα / Όμιλος"</formula>
    </cfRule>
  </conditionalFormatting>
  <conditionalFormatting sqref="A2:G399">
    <cfRule type="expression" dxfId="0" priority="11">
      <formula>AND($A2="",$A1&lt;&gt;"")</formula>
    </cfRule>
  </conditionalFormatting>
  <dataValidations count="2">
    <dataValidation allowBlank="1" showInputMessage="1" showErrorMessage="1" promptTitle="Τίτλος δράσης" prompt="Σύντομος τίτλος. Ώρες στη στήλη Β, τμήματα στη στήλη Ε." sqref="C2:C399" xr:uid="{0CD0AE7B-36D6-492A-8412-0F46B1D4BF63}"/>
    <dataValidation type="custom" allowBlank="1" showInputMessage="1" showErrorMessage="1" errorTitle="Μη έγκυρη ημερομηνία" error="Γράψε πραγματική ημερομηνία στη μορφή 16/10/2026." promptTitle="Ημερομηνία" prompt="Γράψε την ημερομηνία, π.χ. 16/10/2026. Νέα δράση = πρώτη κενή (κίτρινη) γραμμή στο τέλος." sqref="A2:A399" xr:uid="{04C73EC8-C88D-4F69-A9AB-F63578E3CB50}">
      <formula1>OR($A2="",AND(ISNUMBER($A2),$A2&gt;36526))</formula1>
    </dataValidation>
  </dataValidations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errorTitle="Άγνωστη κατηγορία" error="Διάλεξε μία από τις κατηγορίες της λίστας." promptTitle="Κατηγορία" prompt="Διάλεξε από τη λίστα. Αυτή δίνει το χρώμα της ημέρας στην αφίσα." xr:uid="{00000000-0002-0000-0200-000000000000}">
          <x14:formula1>
            <xm:f>ΚΑΤΗΓΟΡΙΕΣ!$A$2:$A$9</xm:f>
          </x14:formula1>
          <x14:formula2>
            <xm:f>0</xm:f>
          </x14:formula2>
          <xm:sqref>D2:D399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64D5-1D64-465A-9EA8-A1AEE48654A9}">
  <sheetPr>
    <pageSetUpPr fitToPage="1"/>
  </sheetPr>
  <dimension ref="A1:P40"/>
  <sheetViews>
    <sheetView showGridLines="0" zoomScaleNormal="100" workbookViewId="0">
      <selection activeCell="D26" sqref="D26"/>
    </sheetView>
  </sheetViews>
  <sheetFormatPr defaultColWidth="8.6640625" defaultRowHeight="14.4" x14ac:dyDescent="0.3"/>
  <cols>
    <col min="1" max="1" width="6" customWidth="1"/>
    <col min="2" max="2" width="8" customWidth="1"/>
    <col min="3" max="3" width="16" customWidth="1"/>
    <col min="4" max="4" width="46" customWidth="1"/>
    <col min="5" max="5" width="2" customWidth="1"/>
    <col min="6" max="6" width="6" customWidth="1"/>
    <col min="7" max="7" width="8" customWidth="1"/>
    <col min="8" max="8" width="16" customWidth="1"/>
    <col min="9" max="9" width="46" customWidth="1"/>
  </cols>
  <sheetData>
    <row r="1" spans="1:16" ht="30" customHeight="1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K1" s="36" t="s">
        <v>81</v>
      </c>
      <c r="N1" t="s">
        <v>68</v>
      </c>
      <c r="O1" t="s">
        <v>69</v>
      </c>
      <c r="P1" t="s">
        <v>70</v>
      </c>
    </row>
    <row r="2" spans="1:16" ht="24" customHeight="1" x14ac:dyDescent="0.3">
      <c r="A2" s="95" t="str">
        <f>$L$2&amp;" "&amp;$L$6</f>
        <v>ΟΚΤΩΒΡΙΟΣ 2026</v>
      </c>
      <c r="B2" s="95"/>
      <c r="C2" s="95"/>
      <c r="D2" s="95"/>
      <c r="F2" s="95" t="str">
        <f>$L$3&amp;" "&amp;$L$8</f>
        <v>ΝΟΕΜΒΡΙΟΣ 2026</v>
      </c>
      <c r="G2" s="95"/>
      <c r="H2" s="95"/>
      <c r="I2" s="95"/>
      <c r="K2" s="34" t="s">
        <v>82</v>
      </c>
      <c r="L2" s="38" t="s">
        <v>72</v>
      </c>
      <c r="N2" t="s">
        <v>71</v>
      </c>
      <c r="O2">
        <v>9</v>
      </c>
      <c r="P2">
        <v>0</v>
      </c>
    </row>
    <row r="3" spans="1:16" ht="19.5" customHeight="1" x14ac:dyDescent="0.3">
      <c r="A3" s="24" t="s">
        <v>42</v>
      </c>
      <c r="B3" s="24" t="s">
        <v>65</v>
      </c>
      <c r="C3" s="24" t="s">
        <v>33</v>
      </c>
      <c r="D3" s="24" t="s">
        <v>66</v>
      </c>
      <c r="F3" s="24" t="s">
        <v>42</v>
      </c>
      <c r="G3" s="24" t="s">
        <v>65</v>
      </c>
      <c r="H3" s="24" t="s">
        <v>33</v>
      </c>
      <c r="I3" s="24" t="s">
        <v>66</v>
      </c>
      <c r="K3" s="35" t="s">
        <v>83</v>
      </c>
      <c r="L3" s="37" t="s">
        <v>73</v>
      </c>
      <c r="N3" t="s">
        <v>72</v>
      </c>
      <c r="O3">
        <v>10</v>
      </c>
      <c r="P3">
        <v>0</v>
      </c>
    </row>
    <row r="4" spans="1:16" x14ac:dyDescent="0.3">
      <c r="A4" s="25" t="str">
        <f t="shared" ref="A4:A34" si="0">IF($B4="","",CHOOSE(WEEKDAY($B4,2),"Δευ","Τρί","Τετ","Πέμ","Παρ","Σάβ","Κυρ"))</f>
        <v>Πέμ</v>
      </c>
      <c r="B4" s="26">
        <f t="shared" ref="B4:B34" si="1">IFERROR(IF(MONTH(DATE($L$6,$L$5,ROW()-3))=$L$5,DATE($L$6,$L$5,ROW()-3),""),"")</f>
        <v>46296</v>
      </c>
      <c r="C4" s="27" t="str">
        <f>IFERROR(INDEX(ΔΡΑΣΕΙΣ!$D$2:$D$399,MATCH($B4&amp;"#1",ΔΡΑΣΕΙΣ!$I$2:$I$399,0)),"")</f>
        <v/>
      </c>
      <c r="D4" s="28" t="str">
        <f>IF($B4="","",IFERROR(INDEX(ΔΡΑΣΕΙΣ!$J$2:$J$399,MATCH($B4&amp;"#1",ΔΡΑΣΕΙΣ!$I$2:$I$399,0)),"")&amp;IFERROR(CHAR(10)&amp;INDEX(ΔΡΑΣΕΙΣ!$J$2:$J$399,MATCH($B4&amp;"#2",ΔΡΑΣΕΙΣ!$I$2:$I$399,0)),"")&amp;IFERROR(CHAR(10)&amp;INDEX(ΔΡΑΣΕΙΣ!$J$2:$J$399,MATCH($B4&amp;"#3",ΔΡΑΣΕΙΣ!$I$2:$I$399,0)),""))</f>
        <v/>
      </c>
      <c r="F4" s="25" t="str">
        <f t="shared" ref="F4:F34" si="2">IF($G4="","",CHOOSE(WEEKDAY($G4,2),"Δευ","Τρί","Τετ","Πέμ","Παρ","Σάβ","Κυρ"))</f>
        <v>Κυρ</v>
      </c>
      <c r="G4" s="26">
        <f t="shared" ref="G4:G34" si="3">IFERROR(IF(MONTH(DATE($L$8,$L$7,ROW()-3))=$L$7,DATE($L$8,$L$7,ROW()-3),""),"")</f>
        <v>46327</v>
      </c>
      <c r="H4" s="27" t="str">
        <f>IFERROR(INDEX(ΔΡΑΣΕΙΣ!$D$2:$D$399,MATCH($G4&amp;"#1",ΔΡΑΣΕΙΣ!$I$2:$I$399,0)),"")</f>
        <v/>
      </c>
      <c r="I4" s="28" t="str">
        <f>IF($G4="","",IFERROR(INDEX(ΔΡΑΣΕΙΣ!$J$2:$J$399,MATCH($G4&amp;"#1",ΔΡΑΣΕΙΣ!$I$2:$I$399,0)),"")&amp;IFERROR(CHAR(10)&amp;INDEX(ΔΡΑΣΕΙΣ!$J$2:$J$399,MATCH($G4&amp;"#2",ΔΡΑΣΕΙΣ!$I$2:$I$399,0)),"")&amp;IFERROR(CHAR(10)&amp;INDEX(ΔΡΑΣΕΙΣ!$J$2:$J$399,MATCH($G4&amp;"#3",ΔΡΑΣΕΙΣ!$I$2:$I$399,0)),""))</f>
        <v/>
      </c>
      <c r="K4" s="34"/>
      <c r="N4" t="s">
        <v>73</v>
      </c>
      <c r="O4">
        <v>11</v>
      </c>
      <c r="P4">
        <v>0</v>
      </c>
    </row>
    <row r="5" spans="1:16" x14ac:dyDescent="0.3">
      <c r="A5" s="25" t="str">
        <f t="shared" si="0"/>
        <v>Παρ</v>
      </c>
      <c r="B5" s="26">
        <f t="shared" si="1"/>
        <v>46297</v>
      </c>
      <c r="C5" s="27" t="str">
        <f>IFERROR(INDEX(ΔΡΑΣΕΙΣ!$D$2:$D$399,MATCH($B5&amp;"#1",ΔΡΑΣΕΙΣ!$I$2:$I$399,0)),"")</f>
        <v/>
      </c>
      <c r="D5" s="28" t="str">
        <f>IF($B5="","",IFERROR(INDEX(ΔΡΑΣΕΙΣ!$J$2:$J$399,MATCH($B5&amp;"#1",ΔΡΑΣΕΙΣ!$I$2:$I$399,0)),"")&amp;IFERROR(CHAR(10)&amp;INDEX(ΔΡΑΣΕΙΣ!$J$2:$J$399,MATCH($B5&amp;"#2",ΔΡΑΣΕΙΣ!$I$2:$I$399,0)),"")&amp;IFERROR(CHAR(10)&amp;INDEX(ΔΡΑΣΕΙΣ!$J$2:$J$399,MATCH($B5&amp;"#3",ΔΡΑΣΕΙΣ!$I$2:$I$399,0)),""))</f>
        <v/>
      </c>
      <c r="F5" s="25" t="str">
        <f t="shared" si="2"/>
        <v>Δευ</v>
      </c>
      <c r="G5" s="26">
        <f t="shared" si="3"/>
        <v>46328</v>
      </c>
      <c r="H5" s="27" t="str">
        <f>IFERROR(INDEX(ΔΡΑΣΕΙΣ!$D$2:$D$399,MATCH($G5&amp;"#1",ΔΡΑΣΕΙΣ!$I$2:$I$399,0)),"")</f>
        <v/>
      </c>
      <c r="I5" s="28" t="str">
        <f>IF($G5="","",IFERROR(INDEX(ΔΡΑΣΕΙΣ!$J$2:$J$399,MATCH($G5&amp;"#1",ΔΡΑΣΕΙΣ!$I$2:$I$399,0)),"")&amp;IFERROR(CHAR(10)&amp;INDEX(ΔΡΑΣΕΙΣ!$J$2:$J$399,MATCH($G5&amp;"#2",ΔΡΑΣΕΙΣ!$I$2:$I$399,0)),"")&amp;IFERROR(CHAR(10)&amp;INDEX(ΔΡΑΣΕΙΣ!$J$2:$J$399,MATCH($G5&amp;"#3",ΔΡΑΣΕΙΣ!$I$2:$I$399,0)),""))</f>
        <v/>
      </c>
      <c r="K5" s="34" t="s">
        <v>84</v>
      </c>
      <c r="L5">
        <f>INDEX($O$2:$O$11,MATCH($L$2,$N$2:$N$11,0))</f>
        <v>10</v>
      </c>
      <c r="N5" t="s">
        <v>74</v>
      </c>
      <c r="O5">
        <v>12</v>
      </c>
      <c r="P5">
        <v>0</v>
      </c>
    </row>
    <row r="6" spans="1:16" x14ac:dyDescent="0.3">
      <c r="A6" s="25" t="str">
        <f t="shared" si="0"/>
        <v>Σάβ</v>
      </c>
      <c r="B6" s="26">
        <f t="shared" si="1"/>
        <v>46298</v>
      </c>
      <c r="C6" s="27" t="str">
        <f>IFERROR(INDEX(ΔΡΑΣΕΙΣ!$D$2:$D$399,MATCH($B6&amp;"#1",ΔΡΑΣΕΙΣ!$I$2:$I$399,0)),"")</f>
        <v/>
      </c>
      <c r="D6" s="28" t="str">
        <f>IF($B6="","",IFERROR(INDEX(ΔΡΑΣΕΙΣ!$J$2:$J$399,MATCH($B6&amp;"#1",ΔΡΑΣΕΙΣ!$I$2:$I$399,0)),"")&amp;IFERROR(CHAR(10)&amp;INDEX(ΔΡΑΣΕΙΣ!$J$2:$J$399,MATCH($B6&amp;"#2",ΔΡΑΣΕΙΣ!$I$2:$I$399,0)),"")&amp;IFERROR(CHAR(10)&amp;INDEX(ΔΡΑΣΕΙΣ!$J$2:$J$399,MATCH($B6&amp;"#3",ΔΡΑΣΕΙΣ!$I$2:$I$399,0)),""))</f>
        <v/>
      </c>
      <c r="F6" s="25" t="str">
        <f t="shared" si="2"/>
        <v>Τρί</v>
      </c>
      <c r="G6" s="26">
        <f t="shared" si="3"/>
        <v>46329</v>
      </c>
      <c r="H6" s="27" t="str">
        <f>IFERROR(INDEX(ΔΡΑΣΕΙΣ!$D$2:$D$399,MATCH($G6&amp;"#1",ΔΡΑΣΕΙΣ!$I$2:$I$399,0)),"")</f>
        <v/>
      </c>
      <c r="I6" s="28" t="str">
        <f>IF($G6="","",IFERROR(INDEX(ΔΡΑΣΕΙΣ!$J$2:$J$399,MATCH($G6&amp;"#1",ΔΡΑΣΕΙΣ!$I$2:$I$399,0)),"")&amp;IFERROR(CHAR(10)&amp;INDEX(ΔΡΑΣΕΙΣ!$J$2:$J$399,MATCH($G6&amp;"#2",ΔΡΑΣΕΙΣ!$I$2:$I$399,0)),"")&amp;IFERROR(CHAR(10)&amp;INDEX(ΔΡΑΣΕΙΣ!$J$2:$J$399,MATCH($G6&amp;"#3",ΔΡΑΣΕΙΣ!$I$2:$I$399,0)),""))</f>
        <v/>
      </c>
      <c r="K6" s="34" t="s">
        <v>85</v>
      </c>
      <c r="L6">
        <f>ΟΔΗΓΙΕΣ!$B$3+INDEX($P$2:$P$11,MATCH($L$2,$N$2:$N$11,0))</f>
        <v>2026</v>
      </c>
      <c r="N6" t="s">
        <v>75</v>
      </c>
      <c r="O6">
        <v>1</v>
      </c>
      <c r="P6">
        <v>1</v>
      </c>
    </row>
    <row r="7" spans="1:16" ht="26.4" x14ac:dyDescent="0.3">
      <c r="A7" s="25" t="str">
        <f t="shared" si="0"/>
        <v>Κυρ</v>
      </c>
      <c r="B7" s="26">
        <f t="shared" si="1"/>
        <v>46299</v>
      </c>
      <c r="C7" s="27" t="str">
        <f>IFERROR(INDEX(ΔΡΑΣΕΙΣ!$D$2:$D$399,MATCH($B7&amp;"#1",ΔΡΑΣΕΙΣ!$I$2:$I$399,0)),"")</f>
        <v/>
      </c>
      <c r="D7" s="28" t="str">
        <f>IF($B7="","",IFERROR(INDEX(ΔΡΑΣΕΙΣ!$J$2:$J$399,MATCH($B7&amp;"#1",ΔΡΑΣΕΙΣ!$I$2:$I$399,0)),"")&amp;IFERROR(CHAR(10)&amp;INDEX(ΔΡΑΣΕΙΣ!$J$2:$J$399,MATCH($B7&amp;"#2",ΔΡΑΣΕΙΣ!$I$2:$I$399,0)),"")&amp;IFERROR(CHAR(10)&amp;INDEX(ΔΡΑΣΕΙΣ!$J$2:$J$399,MATCH($B7&amp;"#3",ΔΡΑΣΕΙΣ!$I$2:$I$399,0)),""))</f>
        <v/>
      </c>
      <c r="F7" s="25" t="str">
        <f t="shared" si="2"/>
        <v>Τετ</v>
      </c>
      <c r="G7" s="26">
        <f t="shared" si="3"/>
        <v>46330</v>
      </c>
      <c r="H7" s="27" t="str">
        <f>IFERROR(INDEX(ΔΡΑΣΕΙΣ!$D$2:$D$399,MATCH($G7&amp;"#1",ΔΡΑΣΕΙΣ!$I$2:$I$399,0)),"")</f>
        <v>Δράση / Πρόγραμμα / Όμιλος</v>
      </c>
      <c r="I7" s="28" t="str">
        <f>IF($G7="","",IFERROR(INDEX(ΔΡΑΣΕΙΣ!$J$2:$J$399,MATCH($G7&amp;"#1",ΔΡΑΣΕΙΣ!$I$2:$I$399,0)),"")&amp;IFERROR(CHAR(10)&amp;INDEX(ΔΡΑΣΕΙΣ!$J$2:$J$399,MATCH($G7&amp;"#2",ΔΡΑΣΕΙΣ!$I$2:$I$399,0)),"")&amp;IFERROR(CHAR(10)&amp;INDEX(ΔΡΑΣΕΙΣ!$J$2:$J$399,MATCH($G7&amp;"#3",ΔΡΑΣΕΙΣ!$I$2:$I$399,0)),""))</f>
        <v>08:45-11:15  Διαδικτυακή εκπαίδευση «Kids Save Lives»</v>
      </c>
      <c r="K7" s="34" t="s">
        <v>86</v>
      </c>
      <c r="L7">
        <f>INDEX($O$2:$O$11,MATCH($L$3,$N$2:$N$11,0))</f>
        <v>11</v>
      </c>
      <c r="N7" t="s">
        <v>76</v>
      </c>
      <c r="O7">
        <v>2</v>
      </c>
      <c r="P7">
        <v>1</v>
      </c>
    </row>
    <row r="8" spans="1:16" x14ac:dyDescent="0.3">
      <c r="A8" s="25" t="str">
        <f t="shared" si="0"/>
        <v>Δευ</v>
      </c>
      <c r="B8" s="26">
        <f t="shared" si="1"/>
        <v>46300</v>
      </c>
      <c r="C8" s="27" t="str">
        <f>IFERROR(INDEX(ΔΡΑΣΕΙΣ!$D$2:$D$399,MATCH($B8&amp;"#1",ΔΡΑΣΕΙΣ!$I$2:$I$399,0)),"")</f>
        <v/>
      </c>
      <c r="D8" s="28" t="str">
        <f>IF($B8="","",IFERROR(INDEX(ΔΡΑΣΕΙΣ!$J$2:$J$399,MATCH($B8&amp;"#1",ΔΡΑΣΕΙΣ!$I$2:$I$399,0)),"")&amp;IFERROR(CHAR(10)&amp;INDEX(ΔΡΑΣΕΙΣ!$J$2:$J$399,MATCH($B8&amp;"#2",ΔΡΑΣΕΙΣ!$I$2:$I$399,0)),"")&amp;IFERROR(CHAR(10)&amp;INDEX(ΔΡΑΣΕΙΣ!$J$2:$J$399,MATCH($B8&amp;"#3",ΔΡΑΣΕΙΣ!$I$2:$I$399,0)),""))</f>
        <v/>
      </c>
      <c r="F8" s="25" t="str">
        <f t="shared" si="2"/>
        <v>Πέμ</v>
      </c>
      <c r="G8" s="26">
        <f t="shared" si="3"/>
        <v>46331</v>
      </c>
      <c r="H8" s="27" t="str">
        <f>IFERROR(INDEX(ΔΡΑΣΕΙΣ!$D$2:$D$399,MATCH($G8&amp;"#1",ΔΡΑΣΕΙΣ!$I$2:$I$399,0)),"")</f>
        <v/>
      </c>
      <c r="I8" s="28" t="str">
        <f>IF($G8="","",IFERROR(INDEX(ΔΡΑΣΕΙΣ!$J$2:$J$399,MATCH($G8&amp;"#1",ΔΡΑΣΕΙΣ!$I$2:$I$399,0)),"")&amp;IFERROR(CHAR(10)&amp;INDEX(ΔΡΑΣΕΙΣ!$J$2:$J$399,MATCH($G8&amp;"#2",ΔΡΑΣΕΙΣ!$I$2:$I$399,0)),"")&amp;IFERROR(CHAR(10)&amp;INDEX(ΔΡΑΣΕΙΣ!$J$2:$J$399,MATCH($G8&amp;"#3",ΔΡΑΣΕΙΣ!$I$2:$I$399,0)),""))</f>
        <v/>
      </c>
      <c r="K8" s="34" t="s">
        <v>87</v>
      </c>
      <c r="L8">
        <f>ΟΔΗΓΙΕΣ!$B$3+INDEX($P$2:$P$11,MATCH($L$3,$N$2:$N$11,0))</f>
        <v>2026</v>
      </c>
      <c r="N8" t="s">
        <v>77</v>
      </c>
      <c r="O8">
        <v>3</v>
      </c>
      <c r="P8">
        <v>1</v>
      </c>
    </row>
    <row r="9" spans="1:16" x14ac:dyDescent="0.3">
      <c r="A9" s="25" t="str">
        <f t="shared" si="0"/>
        <v>Τρί</v>
      </c>
      <c r="B9" s="26">
        <f t="shared" si="1"/>
        <v>46301</v>
      </c>
      <c r="C9" s="27" t="str">
        <f>IFERROR(INDEX(ΔΡΑΣΕΙΣ!$D$2:$D$399,MATCH($B9&amp;"#1",ΔΡΑΣΕΙΣ!$I$2:$I$399,0)),"")</f>
        <v/>
      </c>
      <c r="D9" s="28" t="str">
        <f>IF($B9="","",IFERROR(INDEX(ΔΡΑΣΕΙΣ!$J$2:$J$399,MATCH($B9&amp;"#1",ΔΡΑΣΕΙΣ!$I$2:$I$399,0)),"")&amp;IFERROR(CHAR(10)&amp;INDEX(ΔΡΑΣΕΙΣ!$J$2:$J$399,MATCH($B9&amp;"#2",ΔΡΑΣΕΙΣ!$I$2:$I$399,0)),"")&amp;IFERROR(CHAR(10)&amp;INDEX(ΔΡΑΣΕΙΣ!$J$2:$J$399,MATCH($B9&amp;"#3",ΔΡΑΣΕΙΣ!$I$2:$I$399,0)),""))</f>
        <v/>
      </c>
      <c r="F9" s="25" t="str">
        <f t="shared" si="2"/>
        <v>Παρ</v>
      </c>
      <c r="G9" s="26">
        <f t="shared" si="3"/>
        <v>46332</v>
      </c>
      <c r="H9" s="27" t="str">
        <f>IFERROR(INDEX(ΔΡΑΣΕΙΣ!$D$2:$D$399,MATCH($G9&amp;"#1",ΔΡΑΣΕΙΣ!$I$2:$I$399,0)),"")</f>
        <v/>
      </c>
      <c r="I9" s="28" t="str">
        <f>IF($G9="","",IFERROR(INDEX(ΔΡΑΣΕΙΣ!$J$2:$J$399,MATCH($G9&amp;"#1",ΔΡΑΣΕΙΣ!$I$2:$I$399,0)),"")&amp;IFERROR(CHAR(10)&amp;INDEX(ΔΡΑΣΕΙΣ!$J$2:$J$399,MATCH($G9&amp;"#2",ΔΡΑΣΕΙΣ!$I$2:$I$399,0)),"")&amp;IFERROR(CHAR(10)&amp;INDEX(ΔΡΑΣΕΙΣ!$J$2:$J$399,MATCH($G9&amp;"#3",ΔΡΑΣΕΙΣ!$I$2:$I$399,0)),""))</f>
        <v/>
      </c>
      <c r="N9" t="s">
        <v>78</v>
      </c>
      <c r="O9">
        <v>4</v>
      </c>
      <c r="P9">
        <v>1</v>
      </c>
    </row>
    <row r="10" spans="1:16" x14ac:dyDescent="0.3">
      <c r="A10" s="25" t="str">
        <f t="shared" si="0"/>
        <v>Τετ</v>
      </c>
      <c r="B10" s="26">
        <f t="shared" si="1"/>
        <v>46302</v>
      </c>
      <c r="C10" s="27" t="str">
        <f>IFERROR(INDEX(ΔΡΑΣΕΙΣ!$D$2:$D$399,MATCH($B10&amp;"#1",ΔΡΑΣΕΙΣ!$I$2:$I$399,0)),"")</f>
        <v/>
      </c>
      <c r="D10" s="28" t="str">
        <f>IF($B10="","",IFERROR(INDEX(ΔΡΑΣΕΙΣ!$J$2:$J$399,MATCH($B10&amp;"#1",ΔΡΑΣΕΙΣ!$I$2:$I$399,0)),"")&amp;IFERROR(CHAR(10)&amp;INDEX(ΔΡΑΣΕΙΣ!$J$2:$J$399,MATCH($B10&amp;"#2",ΔΡΑΣΕΙΣ!$I$2:$I$399,0)),"")&amp;IFERROR(CHAR(10)&amp;INDEX(ΔΡΑΣΕΙΣ!$J$2:$J$399,MATCH($B10&amp;"#3",ΔΡΑΣΕΙΣ!$I$2:$I$399,0)),""))</f>
        <v/>
      </c>
      <c r="F10" s="25" t="str">
        <f t="shared" si="2"/>
        <v>Σάβ</v>
      </c>
      <c r="G10" s="26">
        <f t="shared" si="3"/>
        <v>46333</v>
      </c>
      <c r="H10" s="27" t="str">
        <f>IFERROR(INDEX(ΔΡΑΣΕΙΣ!$D$2:$D$399,MATCH($G10&amp;"#1",ΔΡΑΣΕΙΣ!$I$2:$I$399,0)),"")</f>
        <v/>
      </c>
      <c r="I10" s="28" t="str">
        <f>IF($G10="","",IFERROR(INDEX(ΔΡΑΣΕΙΣ!$J$2:$J$399,MATCH($G10&amp;"#1",ΔΡΑΣΕΙΣ!$I$2:$I$399,0)),"")&amp;IFERROR(CHAR(10)&amp;INDEX(ΔΡΑΣΕΙΣ!$J$2:$J$399,MATCH($G10&amp;"#2",ΔΡΑΣΕΙΣ!$I$2:$I$399,0)),"")&amp;IFERROR(CHAR(10)&amp;INDEX(ΔΡΑΣΕΙΣ!$J$2:$J$399,MATCH($G10&amp;"#3",ΔΡΑΣΕΙΣ!$I$2:$I$399,0)),""))</f>
        <v/>
      </c>
      <c r="N10" t="s">
        <v>79</v>
      </c>
      <c r="O10">
        <v>5</v>
      </c>
      <c r="P10">
        <v>1</v>
      </c>
    </row>
    <row r="11" spans="1:16" x14ac:dyDescent="0.3">
      <c r="A11" s="25" t="str">
        <f t="shared" si="0"/>
        <v>Πέμ</v>
      </c>
      <c r="B11" s="26">
        <f t="shared" si="1"/>
        <v>46303</v>
      </c>
      <c r="C11" s="27" t="str">
        <f>IFERROR(INDEX(ΔΡΑΣΕΙΣ!$D$2:$D$399,MATCH($B11&amp;"#1",ΔΡΑΣΕΙΣ!$I$2:$I$399,0)),"")</f>
        <v/>
      </c>
      <c r="D11" s="28" t="str">
        <f>IF($B11="","",IFERROR(INDEX(ΔΡΑΣΕΙΣ!$J$2:$J$399,MATCH($B11&amp;"#1",ΔΡΑΣΕΙΣ!$I$2:$I$399,0)),"")&amp;IFERROR(CHAR(10)&amp;INDEX(ΔΡΑΣΕΙΣ!$J$2:$J$399,MATCH($B11&amp;"#2",ΔΡΑΣΕΙΣ!$I$2:$I$399,0)),"")&amp;IFERROR(CHAR(10)&amp;INDEX(ΔΡΑΣΕΙΣ!$J$2:$J$399,MATCH($B11&amp;"#3",ΔΡΑΣΕΙΣ!$I$2:$I$399,0)),""))</f>
        <v/>
      </c>
      <c r="F11" s="25" t="str">
        <f t="shared" si="2"/>
        <v>Κυρ</v>
      </c>
      <c r="G11" s="26">
        <f t="shared" si="3"/>
        <v>46334</v>
      </c>
      <c r="H11" s="27" t="str">
        <f>IFERROR(INDEX(ΔΡΑΣΕΙΣ!$D$2:$D$399,MATCH($G11&amp;"#1",ΔΡΑΣΕΙΣ!$I$2:$I$399,0)),"")</f>
        <v/>
      </c>
      <c r="I11" s="28" t="str">
        <f>IF($G11="","",IFERROR(INDEX(ΔΡΑΣΕΙΣ!$J$2:$J$399,MATCH($G11&amp;"#1",ΔΡΑΣΕΙΣ!$I$2:$I$399,0)),"")&amp;IFERROR(CHAR(10)&amp;INDEX(ΔΡΑΣΕΙΣ!$J$2:$J$399,MATCH($G11&amp;"#2",ΔΡΑΣΕΙΣ!$I$2:$I$399,0)),"")&amp;IFERROR(CHAR(10)&amp;INDEX(ΔΡΑΣΕΙΣ!$J$2:$J$399,MATCH($G11&amp;"#3",ΔΡΑΣΕΙΣ!$I$2:$I$399,0)),""))</f>
        <v/>
      </c>
      <c r="N11" t="s">
        <v>80</v>
      </c>
      <c r="O11">
        <v>6</v>
      </c>
      <c r="P11">
        <v>1</v>
      </c>
    </row>
    <row r="12" spans="1:16" x14ac:dyDescent="0.3">
      <c r="A12" s="25" t="str">
        <f t="shared" si="0"/>
        <v>Παρ</v>
      </c>
      <c r="B12" s="26">
        <f t="shared" si="1"/>
        <v>46304</v>
      </c>
      <c r="C12" s="27" t="str">
        <f>IFERROR(INDEX(ΔΡΑΣΕΙΣ!$D$2:$D$399,MATCH($B12&amp;"#1",ΔΡΑΣΕΙΣ!$I$2:$I$399,0)),"")</f>
        <v/>
      </c>
      <c r="D12" s="28" t="str">
        <f>IF($B12="","",IFERROR(INDEX(ΔΡΑΣΕΙΣ!$J$2:$J$399,MATCH($B12&amp;"#1",ΔΡΑΣΕΙΣ!$I$2:$I$399,0)),"")&amp;IFERROR(CHAR(10)&amp;INDEX(ΔΡΑΣΕΙΣ!$J$2:$J$399,MATCH($B12&amp;"#2",ΔΡΑΣΕΙΣ!$I$2:$I$399,0)),"")&amp;IFERROR(CHAR(10)&amp;INDEX(ΔΡΑΣΕΙΣ!$J$2:$J$399,MATCH($B12&amp;"#3",ΔΡΑΣΕΙΣ!$I$2:$I$399,0)),""))</f>
        <v/>
      </c>
      <c r="F12" s="25" t="str">
        <f t="shared" si="2"/>
        <v>Δευ</v>
      </c>
      <c r="G12" s="26">
        <f t="shared" si="3"/>
        <v>46335</v>
      </c>
      <c r="H12" s="27" t="str">
        <f>IFERROR(INDEX(ΔΡΑΣΕΙΣ!$D$2:$D$399,MATCH($G12&amp;"#1",ΔΡΑΣΕΙΣ!$I$2:$I$399,0)),"")</f>
        <v/>
      </c>
      <c r="I12" s="28" t="str">
        <f>IF($G12="","",IFERROR(INDEX(ΔΡΑΣΕΙΣ!$J$2:$J$399,MATCH($G12&amp;"#1",ΔΡΑΣΕΙΣ!$I$2:$I$399,0)),"")&amp;IFERROR(CHAR(10)&amp;INDEX(ΔΡΑΣΕΙΣ!$J$2:$J$399,MATCH($G12&amp;"#2",ΔΡΑΣΕΙΣ!$I$2:$I$399,0)),"")&amp;IFERROR(CHAR(10)&amp;INDEX(ΔΡΑΣΕΙΣ!$J$2:$J$399,MATCH($G12&amp;"#3",ΔΡΑΣΕΙΣ!$I$2:$I$399,0)),""))</f>
        <v/>
      </c>
    </row>
    <row r="13" spans="1:16" x14ac:dyDescent="0.3">
      <c r="A13" s="25" t="str">
        <f t="shared" si="0"/>
        <v>Σάβ</v>
      </c>
      <c r="B13" s="26">
        <f t="shared" si="1"/>
        <v>46305</v>
      </c>
      <c r="C13" s="27" t="str">
        <f>IFERROR(INDEX(ΔΡΑΣΕΙΣ!$D$2:$D$399,MATCH($B13&amp;"#1",ΔΡΑΣΕΙΣ!$I$2:$I$399,0)),"")</f>
        <v/>
      </c>
      <c r="D13" s="28" t="str">
        <f>IF($B13="","",IFERROR(INDEX(ΔΡΑΣΕΙΣ!$J$2:$J$399,MATCH($B13&amp;"#1",ΔΡΑΣΕΙΣ!$I$2:$I$399,0)),"")&amp;IFERROR(CHAR(10)&amp;INDEX(ΔΡΑΣΕΙΣ!$J$2:$J$399,MATCH($B13&amp;"#2",ΔΡΑΣΕΙΣ!$I$2:$I$399,0)),"")&amp;IFERROR(CHAR(10)&amp;INDEX(ΔΡΑΣΕΙΣ!$J$2:$J$399,MATCH($B13&amp;"#3",ΔΡΑΣΕΙΣ!$I$2:$I$399,0)),""))</f>
        <v/>
      </c>
      <c r="F13" s="25" t="str">
        <f t="shared" si="2"/>
        <v>Τρί</v>
      </c>
      <c r="G13" s="26">
        <f t="shared" si="3"/>
        <v>46336</v>
      </c>
      <c r="H13" s="27" t="str">
        <f>IFERROR(INDEX(ΔΡΑΣΕΙΣ!$D$2:$D$399,MATCH($G13&amp;"#1",ΔΡΑΣΕΙΣ!$I$2:$I$399,0)),"")</f>
        <v/>
      </c>
      <c r="I13" s="28" t="str">
        <f>IF($G13="","",IFERROR(INDEX(ΔΡΑΣΕΙΣ!$J$2:$J$399,MATCH($G13&amp;"#1",ΔΡΑΣΕΙΣ!$I$2:$I$399,0)),"")&amp;IFERROR(CHAR(10)&amp;INDEX(ΔΡΑΣΕΙΣ!$J$2:$J$399,MATCH($G13&amp;"#2",ΔΡΑΣΕΙΣ!$I$2:$I$399,0)),"")&amp;IFERROR(CHAR(10)&amp;INDEX(ΔΡΑΣΕΙΣ!$J$2:$J$399,MATCH($G13&amp;"#3",ΔΡΑΣΕΙΣ!$I$2:$I$399,0)),""))</f>
        <v/>
      </c>
    </row>
    <row r="14" spans="1:16" x14ac:dyDescent="0.3">
      <c r="A14" s="25" t="str">
        <f t="shared" si="0"/>
        <v>Κυρ</v>
      </c>
      <c r="B14" s="26">
        <f t="shared" si="1"/>
        <v>46306</v>
      </c>
      <c r="C14" s="27" t="str">
        <f>IFERROR(INDEX(ΔΡΑΣΕΙΣ!$D$2:$D$399,MATCH($B14&amp;"#1",ΔΡΑΣΕΙΣ!$I$2:$I$399,0)),"")</f>
        <v/>
      </c>
      <c r="D14" s="28" t="str">
        <f>IF($B14="","",IFERROR(INDEX(ΔΡΑΣΕΙΣ!$J$2:$J$399,MATCH($B14&amp;"#1",ΔΡΑΣΕΙΣ!$I$2:$I$399,0)),"")&amp;IFERROR(CHAR(10)&amp;INDEX(ΔΡΑΣΕΙΣ!$J$2:$J$399,MATCH($B14&amp;"#2",ΔΡΑΣΕΙΣ!$I$2:$I$399,0)),"")&amp;IFERROR(CHAR(10)&amp;INDEX(ΔΡΑΣΕΙΣ!$J$2:$J$399,MATCH($B14&amp;"#3",ΔΡΑΣΕΙΣ!$I$2:$I$399,0)),""))</f>
        <v/>
      </c>
      <c r="F14" s="25" t="str">
        <f t="shared" si="2"/>
        <v>Τετ</v>
      </c>
      <c r="G14" s="26">
        <f t="shared" si="3"/>
        <v>46337</v>
      </c>
      <c r="H14" s="27" t="str">
        <f>IFERROR(INDEX(ΔΡΑΣΕΙΣ!$D$2:$D$399,MATCH($G14&amp;"#1",ΔΡΑΣΕΙΣ!$I$2:$I$399,0)),"")</f>
        <v/>
      </c>
      <c r="I14" s="28" t="str">
        <f>IF($G14="","",IFERROR(INDEX(ΔΡΑΣΕΙΣ!$J$2:$J$399,MATCH($G14&amp;"#1",ΔΡΑΣΕΙΣ!$I$2:$I$399,0)),"")&amp;IFERROR(CHAR(10)&amp;INDEX(ΔΡΑΣΕΙΣ!$J$2:$J$399,MATCH($G14&amp;"#2",ΔΡΑΣΕΙΣ!$I$2:$I$399,0)),"")&amp;IFERROR(CHAR(10)&amp;INDEX(ΔΡΑΣΕΙΣ!$J$2:$J$399,MATCH($G14&amp;"#3",ΔΡΑΣΕΙΣ!$I$2:$I$399,0)),""))</f>
        <v/>
      </c>
    </row>
    <row r="15" spans="1:16" x14ac:dyDescent="0.3">
      <c r="A15" s="25" t="str">
        <f t="shared" si="0"/>
        <v>Δευ</v>
      </c>
      <c r="B15" s="26">
        <f t="shared" si="1"/>
        <v>46307</v>
      </c>
      <c r="C15" s="27" t="str">
        <f>IFERROR(INDEX(ΔΡΑΣΕΙΣ!$D$2:$D$399,MATCH($B15&amp;"#1",ΔΡΑΣΕΙΣ!$I$2:$I$399,0)),"")</f>
        <v/>
      </c>
      <c r="D15" s="28" t="str">
        <f>IF($B15="","",IFERROR(INDEX(ΔΡΑΣΕΙΣ!$J$2:$J$399,MATCH($B15&amp;"#1",ΔΡΑΣΕΙΣ!$I$2:$I$399,0)),"")&amp;IFERROR(CHAR(10)&amp;INDEX(ΔΡΑΣΕΙΣ!$J$2:$J$399,MATCH($B15&amp;"#2",ΔΡΑΣΕΙΣ!$I$2:$I$399,0)),"")&amp;IFERROR(CHAR(10)&amp;INDEX(ΔΡΑΣΕΙΣ!$J$2:$J$399,MATCH($B15&amp;"#3",ΔΡΑΣΕΙΣ!$I$2:$I$399,0)),""))</f>
        <v/>
      </c>
      <c r="F15" s="25" t="str">
        <f t="shared" si="2"/>
        <v>Πέμ</v>
      </c>
      <c r="G15" s="26">
        <f t="shared" si="3"/>
        <v>46338</v>
      </c>
      <c r="H15" s="27" t="str">
        <f>IFERROR(INDEX(ΔΡΑΣΕΙΣ!$D$2:$D$399,MATCH($G15&amp;"#1",ΔΡΑΣΕΙΣ!$I$2:$I$399,0)),"")</f>
        <v/>
      </c>
      <c r="I15" s="28" t="str">
        <f>IF($G15="","",IFERROR(INDEX(ΔΡΑΣΕΙΣ!$J$2:$J$399,MATCH($G15&amp;"#1",ΔΡΑΣΕΙΣ!$I$2:$I$399,0)),"")&amp;IFERROR(CHAR(10)&amp;INDEX(ΔΡΑΣΕΙΣ!$J$2:$J$399,MATCH($G15&amp;"#2",ΔΡΑΣΕΙΣ!$I$2:$I$399,0)),"")&amp;IFERROR(CHAR(10)&amp;INDEX(ΔΡΑΣΕΙΣ!$J$2:$J$399,MATCH($G15&amp;"#3",ΔΡΑΣΕΙΣ!$I$2:$I$399,0)),""))</f>
        <v/>
      </c>
    </row>
    <row r="16" spans="1:16" x14ac:dyDescent="0.3">
      <c r="A16" s="25" t="str">
        <f t="shared" si="0"/>
        <v>Τρί</v>
      </c>
      <c r="B16" s="26">
        <f t="shared" si="1"/>
        <v>46308</v>
      </c>
      <c r="C16" s="27" t="str">
        <f>IFERROR(INDEX(ΔΡΑΣΕΙΣ!$D$2:$D$399,MATCH($B16&amp;"#1",ΔΡΑΣΕΙΣ!$I$2:$I$399,0)),"")</f>
        <v/>
      </c>
      <c r="D16" s="28" t="str">
        <f>IF($B16="","",IFERROR(INDEX(ΔΡΑΣΕΙΣ!$J$2:$J$399,MATCH($B16&amp;"#1",ΔΡΑΣΕΙΣ!$I$2:$I$399,0)),"")&amp;IFERROR(CHAR(10)&amp;INDEX(ΔΡΑΣΕΙΣ!$J$2:$J$399,MATCH($B16&amp;"#2",ΔΡΑΣΕΙΣ!$I$2:$I$399,0)),"")&amp;IFERROR(CHAR(10)&amp;INDEX(ΔΡΑΣΕΙΣ!$J$2:$J$399,MATCH($B16&amp;"#3",ΔΡΑΣΕΙΣ!$I$2:$I$399,0)),""))</f>
        <v/>
      </c>
      <c r="F16" s="25" t="str">
        <f t="shared" si="2"/>
        <v>Παρ</v>
      </c>
      <c r="G16" s="26">
        <f t="shared" si="3"/>
        <v>46339</v>
      </c>
      <c r="H16" s="27" t="str">
        <f>IFERROR(INDEX(ΔΡΑΣΕΙΣ!$D$2:$D$399,MATCH($G16&amp;"#1",ΔΡΑΣΕΙΣ!$I$2:$I$399,0)),"")</f>
        <v/>
      </c>
      <c r="I16" s="28" t="str">
        <f>IF($G16="","",IFERROR(INDEX(ΔΡΑΣΕΙΣ!$J$2:$J$399,MATCH($G16&amp;"#1",ΔΡΑΣΕΙΣ!$I$2:$I$399,0)),"")&amp;IFERROR(CHAR(10)&amp;INDEX(ΔΡΑΣΕΙΣ!$J$2:$J$399,MATCH($G16&amp;"#2",ΔΡΑΣΕΙΣ!$I$2:$I$399,0)),"")&amp;IFERROR(CHAR(10)&amp;INDEX(ΔΡΑΣΕΙΣ!$J$2:$J$399,MATCH($G16&amp;"#3",ΔΡΑΣΕΙΣ!$I$2:$I$399,0)),""))</f>
        <v/>
      </c>
    </row>
    <row r="17" spans="1:9" x14ac:dyDescent="0.3">
      <c r="A17" s="25" t="str">
        <f t="shared" si="0"/>
        <v>Τετ</v>
      </c>
      <c r="B17" s="26">
        <f t="shared" si="1"/>
        <v>46309</v>
      </c>
      <c r="C17" s="27" t="str">
        <f>IFERROR(INDEX(ΔΡΑΣΕΙΣ!$D$2:$D$399,MATCH($B17&amp;"#1",ΔΡΑΣΕΙΣ!$I$2:$I$399,0)),"")</f>
        <v/>
      </c>
      <c r="D17" s="28" t="str">
        <f>IF($B17="","",IFERROR(INDEX(ΔΡΑΣΕΙΣ!$J$2:$J$399,MATCH($B17&amp;"#1",ΔΡΑΣΕΙΣ!$I$2:$I$399,0)),"")&amp;IFERROR(CHAR(10)&amp;INDEX(ΔΡΑΣΕΙΣ!$J$2:$J$399,MATCH($B17&amp;"#2",ΔΡΑΣΕΙΣ!$I$2:$I$399,0)),"")&amp;IFERROR(CHAR(10)&amp;INDEX(ΔΡΑΣΕΙΣ!$J$2:$J$399,MATCH($B17&amp;"#3",ΔΡΑΣΕΙΣ!$I$2:$I$399,0)),""))</f>
        <v/>
      </c>
      <c r="F17" s="25" t="str">
        <f t="shared" si="2"/>
        <v>Σάβ</v>
      </c>
      <c r="G17" s="26">
        <f t="shared" si="3"/>
        <v>46340</v>
      </c>
      <c r="H17" s="27" t="str">
        <f>IFERROR(INDEX(ΔΡΑΣΕΙΣ!$D$2:$D$399,MATCH($G17&amp;"#1",ΔΡΑΣΕΙΣ!$I$2:$I$399,0)),"")</f>
        <v/>
      </c>
      <c r="I17" s="28" t="str">
        <f>IF($G17="","",IFERROR(INDEX(ΔΡΑΣΕΙΣ!$J$2:$J$399,MATCH($G17&amp;"#1",ΔΡΑΣΕΙΣ!$I$2:$I$399,0)),"")&amp;IFERROR(CHAR(10)&amp;INDEX(ΔΡΑΣΕΙΣ!$J$2:$J$399,MATCH($G17&amp;"#2",ΔΡΑΣΕΙΣ!$I$2:$I$399,0)),"")&amp;IFERROR(CHAR(10)&amp;INDEX(ΔΡΑΣΕΙΣ!$J$2:$J$399,MATCH($G17&amp;"#3",ΔΡΑΣΕΙΣ!$I$2:$I$399,0)),""))</f>
        <v/>
      </c>
    </row>
    <row r="18" spans="1:9" x14ac:dyDescent="0.3">
      <c r="A18" s="25" t="str">
        <f t="shared" si="0"/>
        <v>Πέμ</v>
      </c>
      <c r="B18" s="26">
        <f t="shared" si="1"/>
        <v>46310</v>
      </c>
      <c r="C18" s="27" t="str">
        <f>IFERROR(INDEX(ΔΡΑΣΕΙΣ!$D$2:$D$399,MATCH($B18&amp;"#1",ΔΡΑΣΕΙΣ!$I$2:$I$399,0)),"")</f>
        <v/>
      </c>
      <c r="D18" s="28" t="str">
        <f>IF($B18="","",IFERROR(INDEX(ΔΡΑΣΕΙΣ!$J$2:$J$399,MATCH($B18&amp;"#1",ΔΡΑΣΕΙΣ!$I$2:$I$399,0)),"")&amp;IFERROR(CHAR(10)&amp;INDEX(ΔΡΑΣΕΙΣ!$J$2:$J$399,MATCH($B18&amp;"#2",ΔΡΑΣΕΙΣ!$I$2:$I$399,0)),"")&amp;IFERROR(CHAR(10)&amp;INDEX(ΔΡΑΣΕΙΣ!$J$2:$J$399,MATCH($B18&amp;"#3",ΔΡΑΣΕΙΣ!$I$2:$I$399,0)),""))</f>
        <v/>
      </c>
      <c r="F18" s="25" t="str">
        <f t="shared" si="2"/>
        <v>Κυρ</v>
      </c>
      <c r="G18" s="26">
        <f t="shared" si="3"/>
        <v>46341</v>
      </c>
      <c r="H18" s="27" t="str">
        <f>IFERROR(INDEX(ΔΡΑΣΕΙΣ!$D$2:$D$399,MATCH($G18&amp;"#1",ΔΡΑΣΕΙΣ!$I$2:$I$399,0)),"")</f>
        <v/>
      </c>
      <c r="I18" s="28" t="str">
        <f>IF($G18="","",IFERROR(INDEX(ΔΡΑΣΕΙΣ!$J$2:$J$399,MATCH($G18&amp;"#1",ΔΡΑΣΕΙΣ!$I$2:$I$399,0)),"")&amp;IFERROR(CHAR(10)&amp;INDEX(ΔΡΑΣΕΙΣ!$J$2:$J$399,MATCH($G18&amp;"#2",ΔΡΑΣΕΙΣ!$I$2:$I$399,0)),"")&amp;IFERROR(CHAR(10)&amp;INDEX(ΔΡΑΣΕΙΣ!$J$2:$J$399,MATCH($G18&amp;"#3",ΔΡΑΣΕΙΣ!$I$2:$I$399,0)),""))</f>
        <v/>
      </c>
    </row>
    <row r="19" spans="1:9" x14ac:dyDescent="0.3">
      <c r="A19" s="25" t="str">
        <f t="shared" si="0"/>
        <v>Παρ</v>
      </c>
      <c r="B19" s="26">
        <f t="shared" si="1"/>
        <v>46311</v>
      </c>
      <c r="C19" s="27" t="str">
        <f>IFERROR(INDEX(ΔΡΑΣΕΙΣ!$D$2:$D$399,MATCH($B19&amp;"#1",ΔΡΑΣΕΙΣ!$I$2:$I$399,0)),"")</f>
        <v/>
      </c>
      <c r="D19" s="28" t="str">
        <f>IF($B19="","",IFERROR(INDEX(ΔΡΑΣΕΙΣ!$J$2:$J$399,MATCH($B19&amp;"#1",ΔΡΑΣΕΙΣ!$I$2:$I$399,0)),"")&amp;IFERROR(CHAR(10)&amp;INDEX(ΔΡΑΣΕΙΣ!$J$2:$J$399,MATCH($B19&amp;"#2",ΔΡΑΣΕΙΣ!$I$2:$I$399,0)),"")&amp;IFERROR(CHAR(10)&amp;INDEX(ΔΡΑΣΕΙΣ!$J$2:$J$399,MATCH($B19&amp;"#3",ΔΡΑΣΕΙΣ!$I$2:$I$399,0)),""))</f>
        <v/>
      </c>
      <c r="F19" s="25" t="str">
        <f t="shared" si="2"/>
        <v>Δευ</v>
      </c>
      <c r="G19" s="26">
        <f t="shared" si="3"/>
        <v>46342</v>
      </c>
      <c r="H19" s="27" t="str">
        <f>IFERROR(INDEX(ΔΡΑΣΕΙΣ!$D$2:$D$399,MATCH($G19&amp;"#1",ΔΡΑΣΕΙΣ!$I$2:$I$399,0)),"")</f>
        <v/>
      </c>
      <c r="I19" s="28" t="str">
        <f>IF($G19="","",IFERROR(INDEX(ΔΡΑΣΕΙΣ!$J$2:$J$399,MATCH($G19&amp;"#1",ΔΡΑΣΕΙΣ!$I$2:$I$399,0)),"")&amp;IFERROR(CHAR(10)&amp;INDEX(ΔΡΑΣΕΙΣ!$J$2:$J$399,MATCH($G19&amp;"#2",ΔΡΑΣΕΙΣ!$I$2:$I$399,0)),"")&amp;IFERROR(CHAR(10)&amp;INDEX(ΔΡΑΣΕΙΣ!$J$2:$J$399,MATCH($G19&amp;"#3",ΔΡΑΣΕΙΣ!$I$2:$I$399,0)),""))</f>
        <v/>
      </c>
    </row>
    <row r="20" spans="1:9" x14ac:dyDescent="0.3">
      <c r="A20" s="25" t="str">
        <f t="shared" si="0"/>
        <v>Σάβ</v>
      </c>
      <c r="B20" s="26">
        <f t="shared" si="1"/>
        <v>46312</v>
      </c>
      <c r="C20" s="27" t="str">
        <f>IFERROR(INDEX(ΔΡΑΣΕΙΣ!$D$2:$D$399,MATCH($B20&amp;"#1",ΔΡΑΣΕΙΣ!$I$2:$I$399,0)),"")</f>
        <v/>
      </c>
      <c r="D20" s="28" t="str">
        <f>IF($B20="","",IFERROR(INDEX(ΔΡΑΣΕΙΣ!$J$2:$J$399,MATCH($B20&amp;"#1",ΔΡΑΣΕΙΣ!$I$2:$I$399,0)),"")&amp;IFERROR(CHAR(10)&amp;INDEX(ΔΡΑΣΕΙΣ!$J$2:$J$399,MATCH($B20&amp;"#2",ΔΡΑΣΕΙΣ!$I$2:$I$399,0)),"")&amp;IFERROR(CHAR(10)&amp;INDEX(ΔΡΑΣΕΙΣ!$J$2:$J$399,MATCH($B20&amp;"#3",ΔΡΑΣΕΙΣ!$I$2:$I$399,0)),""))</f>
        <v/>
      </c>
      <c r="F20" s="25" t="str">
        <f t="shared" si="2"/>
        <v>Τρί</v>
      </c>
      <c r="G20" s="26">
        <f t="shared" si="3"/>
        <v>46343</v>
      </c>
      <c r="H20" s="27" t="str">
        <f>IFERROR(INDEX(ΔΡΑΣΕΙΣ!$D$2:$D$399,MATCH($G20&amp;"#1",ΔΡΑΣΕΙΣ!$I$2:$I$399,0)),"")</f>
        <v>Εορτή / Εκκλησιασμός</v>
      </c>
      <c r="I20" s="28" t="str">
        <f>IF($G20="","",IFERROR(INDEX(ΔΡΑΣΕΙΣ!$J$2:$J$399,MATCH($G20&amp;"#1",ΔΡΑΣΕΙΣ!$I$2:$I$399,0)),"")&amp;IFERROR(CHAR(10)&amp;INDEX(ΔΡΑΣΕΙΣ!$J$2:$J$399,MATCH($G20&amp;"#2",ΔΡΑΣΕΙΣ!$I$2:$I$399,0)),"")&amp;IFERROR(CHAR(10)&amp;INDEX(ΔΡΑΣΕΙΣ!$J$2:$J$399,MATCH($G20&amp;"#3",ΔΡΑΣΕΙΣ!$I$2:$I$399,0)),""))</f>
        <v>Εκδηλώσεις για την επέτειο του Πολυτεχνείου</v>
      </c>
    </row>
    <row r="21" spans="1:9" x14ac:dyDescent="0.3">
      <c r="A21" s="25" t="str">
        <f t="shared" si="0"/>
        <v>Κυρ</v>
      </c>
      <c r="B21" s="26">
        <f t="shared" si="1"/>
        <v>46313</v>
      </c>
      <c r="C21" s="27" t="str">
        <f>IFERROR(INDEX(ΔΡΑΣΕΙΣ!$D$2:$D$399,MATCH($B21&amp;"#1",ΔΡΑΣΕΙΣ!$I$2:$I$399,0)),"")</f>
        <v/>
      </c>
      <c r="D21" s="28" t="str">
        <f>IF($B21="","",IFERROR(INDEX(ΔΡΑΣΕΙΣ!$J$2:$J$399,MATCH($B21&amp;"#1",ΔΡΑΣΕΙΣ!$I$2:$I$399,0)),"")&amp;IFERROR(CHAR(10)&amp;INDEX(ΔΡΑΣΕΙΣ!$J$2:$J$399,MATCH($B21&amp;"#2",ΔΡΑΣΕΙΣ!$I$2:$I$399,0)),"")&amp;IFERROR(CHAR(10)&amp;INDEX(ΔΡΑΣΕΙΣ!$J$2:$J$399,MATCH($B21&amp;"#3",ΔΡΑΣΕΙΣ!$I$2:$I$399,0)),""))</f>
        <v/>
      </c>
      <c r="F21" s="25" t="str">
        <f t="shared" si="2"/>
        <v>Τετ</v>
      </c>
      <c r="G21" s="26">
        <f t="shared" si="3"/>
        <v>46344</v>
      </c>
      <c r="H21" s="27" t="str">
        <f>IFERROR(INDEX(ΔΡΑΣΕΙΣ!$D$2:$D$399,MATCH($G21&amp;"#1",ΔΡΑΣΕΙΣ!$I$2:$I$399,0)),"")</f>
        <v/>
      </c>
      <c r="I21" s="28" t="str">
        <f>IF($G21="","",IFERROR(INDEX(ΔΡΑΣΕΙΣ!$J$2:$J$399,MATCH($G21&amp;"#1",ΔΡΑΣΕΙΣ!$I$2:$I$399,0)),"")&amp;IFERROR(CHAR(10)&amp;INDEX(ΔΡΑΣΕΙΣ!$J$2:$J$399,MATCH($G21&amp;"#2",ΔΡΑΣΕΙΣ!$I$2:$I$399,0)),"")&amp;IFERROR(CHAR(10)&amp;INDEX(ΔΡΑΣΕΙΣ!$J$2:$J$399,MATCH($G21&amp;"#3",ΔΡΑΣΕΙΣ!$I$2:$I$399,0)),""))</f>
        <v/>
      </c>
    </row>
    <row r="22" spans="1:9" x14ac:dyDescent="0.3">
      <c r="A22" s="25" t="str">
        <f t="shared" si="0"/>
        <v>Δευ</v>
      </c>
      <c r="B22" s="26">
        <f t="shared" si="1"/>
        <v>46314</v>
      </c>
      <c r="C22" s="27" t="str">
        <f>IFERROR(INDEX(ΔΡΑΣΕΙΣ!$D$2:$D$399,MATCH($B22&amp;"#1",ΔΡΑΣΕΙΣ!$I$2:$I$399,0)),"")</f>
        <v/>
      </c>
      <c r="D22" s="28" t="str">
        <f>IF($B22="","",IFERROR(INDEX(ΔΡΑΣΕΙΣ!$J$2:$J$399,MATCH($B22&amp;"#1",ΔΡΑΣΕΙΣ!$I$2:$I$399,0)),"")&amp;IFERROR(CHAR(10)&amp;INDEX(ΔΡΑΣΕΙΣ!$J$2:$J$399,MATCH($B22&amp;"#2",ΔΡΑΣΕΙΣ!$I$2:$I$399,0)),"")&amp;IFERROR(CHAR(10)&amp;INDEX(ΔΡΑΣΕΙΣ!$J$2:$J$399,MATCH($B22&amp;"#3",ΔΡΑΣΕΙΣ!$I$2:$I$399,0)),""))</f>
        <v/>
      </c>
      <c r="F22" s="25" t="str">
        <f t="shared" si="2"/>
        <v>Πέμ</v>
      </c>
      <c r="G22" s="26">
        <f t="shared" si="3"/>
        <v>46345</v>
      </c>
      <c r="H22" s="27" t="str">
        <f>IFERROR(INDEX(ΔΡΑΣΕΙΣ!$D$2:$D$399,MATCH($G22&amp;"#1",ΔΡΑΣΕΙΣ!$I$2:$I$399,0)),"")</f>
        <v/>
      </c>
      <c r="I22" s="28" t="str">
        <f>IF($G22="","",IFERROR(INDEX(ΔΡΑΣΕΙΣ!$J$2:$J$399,MATCH($G22&amp;"#1",ΔΡΑΣΕΙΣ!$I$2:$I$399,0)),"")&amp;IFERROR(CHAR(10)&amp;INDEX(ΔΡΑΣΕΙΣ!$J$2:$J$399,MATCH($G22&amp;"#2",ΔΡΑΣΕΙΣ!$I$2:$I$399,0)),"")&amp;IFERROR(CHAR(10)&amp;INDEX(ΔΡΑΣΕΙΣ!$J$2:$J$399,MATCH($G22&amp;"#3",ΔΡΑΣΕΙΣ!$I$2:$I$399,0)),""))</f>
        <v/>
      </c>
    </row>
    <row r="23" spans="1:9" x14ac:dyDescent="0.3">
      <c r="A23" s="25" t="str">
        <f t="shared" si="0"/>
        <v>Τρί</v>
      </c>
      <c r="B23" s="26">
        <f t="shared" si="1"/>
        <v>46315</v>
      </c>
      <c r="C23" s="27" t="str">
        <f>IFERROR(INDEX(ΔΡΑΣΕΙΣ!$D$2:$D$399,MATCH($B23&amp;"#1",ΔΡΑΣΕΙΣ!$I$2:$I$399,0)),"")</f>
        <v/>
      </c>
      <c r="D23" s="28" t="str">
        <f>IF($B23="","",IFERROR(INDEX(ΔΡΑΣΕΙΣ!$J$2:$J$399,MATCH($B23&amp;"#1",ΔΡΑΣΕΙΣ!$I$2:$I$399,0)),"")&amp;IFERROR(CHAR(10)&amp;INDEX(ΔΡΑΣΕΙΣ!$J$2:$J$399,MATCH($B23&amp;"#2",ΔΡΑΣΕΙΣ!$I$2:$I$399,0)),"")&amp;IFERROR(CHAR(10)&amp;INDEX(ΔΡΑΣΕΙΣ!$J$2:$J$399,MATCH($B23&amp;"#3",ΔΡΑΣΕΙΣ!$I$2:$I$399,0)),""))</f>
        <v/>
      </c>
      <c r="F23" s="25" t="str">
        <f t="shared" si="2"/>
        <v>Παρ</v>
      </c>
      <c r="G23" s="26">
        <f t="shared" si="3"/>
        <v>46346</v>
      </c>
      <c r="H23" s="27" t="str">
        <f>IFERROR(INDEX(ΔΡΑΣΕΙΣ!$D$2:$D$399,MATCH($G23&amp;"#1",ΔΡΑΣΕΙΣ!$I$2:$I$399,0)),"")</f>
        <v/>
      </c>
      <c r="I23" s="28" t="str">
        <f>IF($G23="","",IFERROR(INDEX(ΔΡΑΣΕΙΣ!$J$2:$J$399,MATCH($G23&amp;"#1",ΔΡΑΣΕΙΣ!$I$2:$I$399,0)),"")&amp;IFERROR(CHAR(10)&amp;INDEX(ΔΡΑΣΕΙΣ!$J$2:$J$399,MATCH($G23&amp;"#2",ΔΡΑΣΕΙΣ!$I$2:$I$399,0)),"")&amp;IFERROR(CHAR(10)&amp;INDEX(ΔΡΑΣΕΙΣ!$J$2:$J$399,MATCH($G23&amp;"#3",ΔΡΑΣΕΙΣ!$I$2:$I$399,0)),""))</f>
        <v/>
      </c>
    </row>
    <row r="24" spans="1:9" x14ac:dyDescent="0.3">
      <c r="A24" s="25" t="str">
        <f t="shared" si="0"/>
        <v>Τετ</v>
      </c>
      <c r="B24" s="26">
        <f t="shared" si="1"/>
        <v>46316</v>
      </c>
      <c r="C24" s="27" t="str">
        <f>IFERROR(INDEX(ΔΡΑΣΕΙΣ!$D$2:$D$399,MATCH($B24&amp;"#1",ΔΡΑΣΕΙΣ!$I$2:$I$399,0)),"")</f>
        <v/>
      </c>
      <c r="D24" s="28" t="str">
        <f>IF($B24="","",IFERROR(INDEX(ΔΡΑΣΕΙΣ!$J$2:$J$399,MATCH($B24&amp;"#1",ΔΡΑΣΕΙΣ!$I$2:$I$399,0)),"")&amp;IFERROR(CHAR(10)&amp;INDEX(ΔΡΑΣΕΙΣ!$J$2:$J$399,MATCH($B24&amp;"#2",ΔΡΑΣΕΙΣ!$I$2:$I$399,0)),"")&amp;IFERROR(CHAR(10)&amp;INDEX(ΔΡΑΣΕΙΣ!$J$2:$J$399,MATCH($B24&amp;"#3",ΔΡΑΣΕΙΣ!$I$2:$I$399,0)),""))</f>
        <v/>
      </c>
      <c r="F24" s="25" t="str">
        <f t="shared" si="2"/>
        <v>Σάβ</v>
      </c>
      <c r="G24" s="26">
        <f t="shared" si="3"/>
        <v>46347</v>
      </c>
      <c r="H24" s="27" t="str">
        <f>IFERROR(INDEX(ΔΡΑΣΕΙΣ!$D$2:$D$399,MATCH($G24&amp;"#1",ΔΡΑΣΕΙΣ!$I$2:$I$399,0)),"")</f>
        <v/>
      </c>
      <c r="I24" s="28" t="str">
        <f>IF($G24="","",IFERROR(INDEX(ΔΡΑΣΕΙΣ!$J$2:$J$399,MATCH($G24&amp;"#1",ΔΡΑΣΕΙΣ!$I$2:$I$399,0)),"")&amp;IFERROR(CHAR(10)&amp;INDEX(ΔΡΑΣΕΙΣ!$J$2:$J$399,MATCH($G24&amp;"#2",ΔΡΑΣΕΙΣ!$I$2:$I$399,0)),"")&amp;IFERROR(CHAR(10)&amp;INDEX(ΔΡΑΣΕΙΣ!$J$2:$J$399,MATCH($G24&amp;"#3",ΔΡΑΣΕΙΣ!$I$2:$I$399,0)),""))</f>
        <v/>
      </c>
    </row>
    <row r="25" spans="1:9" x14ac:dyDescent="0.3">
      <c r="A25" s="25" t="str">
        <f t="shared" si="0"/>
        <v>Πέμ</v>
      </c>
      <c r="B25" s="26">
        <f t="shared" si="1"/>
        <v>46317</v>
      </c>
      <c r="C25" s="27" t="str">
        <f>IFERROR(INDEX(ΔΡΑΣΕΙΣ!$D$2:$D$399,MATCH($B25&amp;"#1",ΔΡΑΣΕΙΣ!$I$2:$I$399,0)),"")</f>
        <v/>
      </c>
      <c r="D25" s="28" t="str">
        <f>IF($B25="","",IFERROR(INDEX(ΔΡΑΣΕΙΣ!$J$2:$J$399,MATCH($B25&amp;"#1",ΔΡΑΣΕΙΣ!$I$2:$I$399,0)),"")&amp;IFERROR(CHAR(10)&amp;INDEX(ΔΡΑΣΕΙΣ!$J$2:$J$399,MATCH($B25&amp;"#2",ΔΡΑΣΕΙΣ!$I$2:$I$399,0)),"")&amp;IFERROR(CHAR(10)&amp;INDEX(ΔΡΑΣΕΙΣ!$J$2:$J$399,MATCH($B25&amp;"#3",ΔΡΑΣΕΙΣ!$I$2:$I$399,0)),""))</f>
        <v/>
      </c>
      <c r="F25" s="25" t="str">
        <f t="shared" si="2"/>
        <v>Κυρ</v>
      </c>
      <c r="G25" s="26">
        <f t="shared" si="3"/>
        <v>46348</v>
      </c>
      <c r="H25" s="27" t="str">
        <f>IFERROR(INDEX(ΔΡΑΣΕΙΣ!$D$2:$D$399,MATCH($G25&amp;"#1",ΔΡΑΣΕΙΣ!$I$2:$I$399,0)),"")</f>
        <v/>
      </c>
      <c r="I25" s="28" t="str">
        <f>IF($G25="","",IFERROR(INDEX(ΔΡΑΣΕΙΣ!$J$2:$J$399,MATCH($G25&amp;"#1",ΔΡΑΣΕΙΣ!$I$2:$I$399,0)),"")&amp;IFERROR(CHAR(10)&amp;INDEX(ΔΡΑΣΕΙΣ!$J$2:$J$399,MATCH($G25&amp;"#2",ΔΡΑΣΕΙΣ!$I$2:$I$399,0)),"")&amp;IFERROR(CHAR(10)&amp;INDEX(ΔΡΑΣΕΙΣ!$J$2:$J$399,MATCH($G25&amp;"#3",ΔΡΑΣΕΙΣ!$I$2:$I$399,0)),""))</f>
        <v/>
      </c>
    </row>
    <row r="26" spans="1:9" x14ac:dyDescent="0.3">
      <c r="A26" s="25" t="str">
        <f t="shared" si="0"/>
        <v>Παρ</v>
      </c>
      <c r="B26" s="26">
        <f t="shared" si="1"/>
        <v>46318</v>
      </c>
      <c r="C26" s="27" t="str">
        <f>IFERROR(INDEX(ΔΡΑΣΕΙΣ!$D$2:$D$399,MATCH($B26&amp;"#1",ΔΡΑΣΕΙΣ!$I$2:$I$399,0)),"")</f>
        <v/>
      </c>
      <c r="D26" s="28" t="str">
        <f>IF($B26="","",IFERROR(INDEX(ΔΡΑΣΕΙΣ!$J$2:$J$399,MATCH($B26&amp;"#1",ΔΡΑΣΕΙΣ!$I$2:$I$399,0)),"")&amp;IFERROR(CHAR(10)&amp;INDEX(ΔΡΑΣΕΙΣ!$J$2:$J$399,MATCH($B26&amp;"#2",ΔΡΑΣΕΙΣ!$I$2:$I$399,0)),"")&amp;IFERROR(CHAR(10)&amp;INDEX(ΔΡΑΣΕΙΣ!$J$2:$J$399,MATCH($B26&amp;"#3",ΔΡΑΣΕΙΣ!$I$2:$I$399,0)),""))</f>
        <v/>
      </c>
      <c r="F26" s="25" t="str">
        <f t="shared" si="2"/>
        <v>Δευ</v>
      </c>
      <c r="G26" s="26">
        <f t="shared" si="3"/>
        <v>46349</v>
      </c>
      <c r="H26" s="27" t="str">
        <f>IFERROR(INDEX(ΔΡΑΣΕΙΣ!$D$2:$D$399,MATCH($G26&amp;"#1",ΔΡΑΣΕΙΣ!$I$2:$I$399,0)),"")</f>
        <v/>
      </c>
      <c r="I26" s="28" t="str">
        <f>IF($G26="","",IFERROR(INDEX(ΔΡΑΣΕΙΣ!$J$2:$J$399,MATCH($G26&amp;"#1",ΔΡΑΣΕΙΣ!$I$2:$I$399,0)),"")&amp;IFERROR(CHAR(10)&amp;INDEX(ΔΡΑΣΕΙΣ!$J$2:$J$399,MATCH($G26&amp;"#2",ΔΡΑΣΕΙΣ!$I$2:$I$399,0)),"")&amp;IFERROR(CHAR(10)&amp;INDEX(ΔΡΑΣΕΙΣ!$J$2:$J$399,MATCH($G26&amp;"#3",ΔΡΑΣΕΙΣ!$I$2:$I$399,0)),""))</f>
        <v/>
      </c>
    </row>
    <row r="27" spans="1:9" x14ac:dyDescent="0.3">
      <c r="A27" s="25" t="str">
        <f t="shared" si="0"/>
        <v>Σάβ</v>
      </c>
      <c r="B27" s="26">
        <f t="shared" si="1"/>
        <v>46319</v>
      </c>
      <c r="C27" s="27" t="str">
        <f>IFERROR(INDEX(ΔΡΑΣΕΙΣ!$D$2:$D$399,MATCH($B27&amp;"#1",ΔΡΑΣΕΙΣ!$I$2:$I$399,0)),"")</f>
        <v/>
      </c>
      <c r="D27" s="28" t="str">
        <f>IF($B27="","",IFERROR(INDEX(ΔΡΑΣΕΙΣ!$J$2:$J$399,MATCH($B27&amp;"#1",ΔΡΑΣΕΙΣ!$I$2:$I$399,0)),"")&amp;IFERROR(CHAR(10)&amp;INDEX(ΔΡΑΣΕΙΣ!$J$2:$J$399,MATCH($B27&amp;"#2",ΔΡΑΣΕΙΣ!$I$2:$I$399,0)),"")&amp;IFERROR(CHAR(10)&amp;INDEX(ΔΡΑΣΕΙΣ!$J$2:$J$399,MATCH($B27&amp;"#3",ΔΡΑΣΕΙΣ!$I$2:$I$399,0)),""))</f>
        <v/>
      </c>
      <c r="F27" s="25" t="str">
        <f t="shared" si="2"/>
        <v>Τρί</v>
      </c>
      <c r="G27" s="26">
        <f t="shared" si="3"/>
        <v>46350</v>
      </c>
      <c r="H27" s="27" t="str">
        <f>IFERROR(INDEX(ΔΡΑΣΕΙΣ!$D$2:$D$399,MATCH($G27&amp;"#1",ΔΡΑΣΕΙΣ!$I$2:$I$399,0)),"")</f>
        <v/>
      </c>
      <c r="I27" s="28" t="str">
        <f>IF($G27="","",IFERROR(INDEX(ΔΡΑΣΕΙΣ!$J$2:$J$399,MATCH($G27&amp;"#1",ΔΡΑΣΕΙΣ!$I$2:$I$399,0)),"")&amp;IFERROR(CHAR(10)&amp;INDEX(ΔΡΑΣΕΙΣ!$J$2:$J$399,MATCH($G27&amp;"#2",ΔΡΑΣΕΙΣ!$I$2:$I$399,0)),"")&amp;IFERROR(CHAR(10)&amp;INDEX(ΔΡΑΣΕΙΣ!$J$2:$J$399,MATCH($G27&amp;"#3",ΔΡΑΣΕΙΣ!$I$2:$I$399,0)),""))</f>
        <v/>
      </c>
    </row>
    <row r="28" spans="1:9" x14ac:dyDescent="0.3">
      <c r="A28" s="25" t="str">
        <f t="shared" si="0"/>
        <v>Κυρ</v>
      </c>
      <c r="B28" s="26">
        <f t="shared" si="1"/>
        <v>46320</v>
      </c>
      <c r="C28" s="27" t="str">
        <f>IFERROR(INDEX(ΔΡΑΣΕΙΣ!$D$2:$D$399,MATCH($B28&amp;"#1",ΔΡΑΣΕΙΣ!$I$2:$I$399,0)),"")</f>
        <v/>
      </c>
      <c r="D28" s="28" t="str">
        <f>IF($B28="","",IFERROR(INDEX(ΔΡΑΣΕΙΣ!$J$2:$J$399,MATCH($B28&amp;"#1",ΔΡΑΣΕΙΣ!$I$2:$I$399,0)),"")&amp;IFERROR(CHAR(10)&amp;INDEX(ΔΡΑΣΕΙΣ!$J$2:$J$399,MATCH($B28&amp;"#2",ΔΡΑΣΕΙΣ!$I$2:$I$399,0)),"")&amp;IFERROR(CHAR(10)&amp;INDEX(ΔΡΑΣΕΙΣ!$J$2:$J$399,MATCH($B28&amp;"#3",ΔΡΑΣΕΙΣ!$I$2:$I$399,0)),""))</f>
        <v/>
      </c>
      <c r="F28" s="25" t="str">
        <f t="shared" si="2"/>
        <v>Τετ</v>
      </c>
      <c r="G28" s="26">
        <f t="shared" si="3"/>
        <v>46351</v>
      </c>
      <c r="H28" s="27" t="str">
        <f>IFERROR(INDEX(ΔΡΑΣΕΙΣ!$D$2:$D$399,MATCH($G28&amp;"#1",ΔΡΑΣΕΙΣ!$I$2:$I$399,0)),"")</f>
        <v/>
      </c>
      <c r="I28" s="28" t="str">
        <f>IF($G28="","",IFERROR(INDEX(ΔΡΑΣΕΙΣ!$J$2:$J$399,MATCH($G28&amp;"#1",ΔΡΑΣΕΙΣ!$I$2:$I$399,0)),"")&amp;IFERROR(CHAR(10)&amp;INDEX(ΔΡΑΣΕΙΣ!$J$2:$J$399,MATCH($G28&amp;"#2",ΔΡΑΣΕΙΣ!$I$2:$I$399,0)),"")&amp;IFERROR(CHAR(10)&amp;INDEX(ΔΡΑΣΕΙΣ!$J$2:$J$399,MATCH($G28&amp;"#3",ΔΡΑΣΕΙΣ!$I$2:$I$399,0)),""))</f>
        <v/>
      </c>
    </row>
    <row r="29" spans="1:9" ht="26.4" x14ac:dyDescent="0.3">
      <c r="A29" s="25" t="str">
        <f t="shared" si="0"/>
        <v>Δευ</v>
      </c>
      <c r="B29" s="26">
        <f t="shared" si="1"/>
        <v>46321</v>
      </c>
      <c r="C29" s="27" t="str">
        <f>IFERROR(INDEX(ΔΡΑΣΕΙΣ!$D$2:$D$399,MATCH($B29&amp;"#1",ΔΡΑΣΕΙΣ!$I$2:$I$399,0)),"")</f>
        <v>Αργία / Διακοπές</v>
      </c>
      <c r="D29" s="28" t="str">
        <f>IF($B29="","",IFERROR(INDEX(ΔΡΑΣΕΙΣ!$J$2:$J$399,MATCH($B29&amp;"#1",ΔΡΑΣΕΙΣ!$I$2:$I$399,0)),"")&amp;IFERROR(CHAR(10)&amp;INDEX(ΔΡΑΣΕΙΣ!$J$2:$J$399,MATCH($B29&amp;"#2",ΔΡΑΣΕΙΣ!$I$2:$I$399,0)),"")&amp;IFERROR(CHAR(10)&amp;INDEX(ΔΡΑΣΕΙΣ!$J$2:$J$399,MATCH($B29&amp;"#3",ΔΡΑΣΕΙΣ!$I$2:$I$399,0)),""))</f>
        <v>Αγίου Δημητρίου – Ελευθέρια Θεσσαλονίκης (τοπική αργία)</v>
      </c>
      <c r="F29" s="25" t="str">
        <f t="shared" si="2"/>
        <v>Πέμ</v>
      </c>
      <c r="G29" s="26">
        <f t="shared" si="3"/>
        <v>46352</v>
      </c>
      <c r="H29" s="27" t="str">
        <f>IFERROR(INDEX(ΔΡΑΣΕΙΣ!$D$2:$D$399,MATCH($G29&amp;"#1",ΔΡΑΣΕΙΣ!$I$2:$I$399,0)),"")</f>
        <v/>
      </c>
      <c r="I29" s="28" t="str">
        <f>IF($G29="","",IFERROR(INDEX(ΔΡΑΣΕΙΣ!$J$2:$J$399,MATCH($G29&amp;"#1",ΔΡΑΣΕΙΣ!$I$2:$I$399,0)),"")&amp;IFERROR(CHAR(10)&amp;INDEX(ΔΡΑΣΕΙΣ!$J$2:$J$399,MATCH($G29&amp;"#2",ΔΡΑΣΕΙΣ!$I$2:$I$399,0)),"")&amp;IFERROR(CHAR(10)&amp;INDEX(ΔΡΑΣΕΙΣ!$J$2:$J$399,MATCH($G29&amp;"#3",ΔΡΑΣΕΙΣ!$I$2:$I$399,0)),""))</f>
        <v/>
      </c>
    </row>
    <row r="30" spans="1:9" ht="26.4" x14ac:dyDescent="0.3">
      <c r="A30" s="25" t="str">
        <f t="shared" si="0"/>
        <v>Τρί</v>
      </c>
      <c r="B30" s="26">
        <f t="shared" si="1"/>
        <v>46322</v>
      </c>
      <c r="C30" s="27" t="str">
        <f>IFERROR(INDEX(ΔΡΑΣΕΙΣ!$D$2:$D$399,MATCH($B30&amp;"#1",ΔΡΑΣΕΙΣ!$I$2:$I$399,0)),"")</f>
        <v>Εορτή / Εκκλησιασμός</v>
      </c>
      <c r="D30" s="28" t="str">
        <f>IF($B30="","",IFERROR(INDEX(ΔΡΑΣΕΙΣ!$J$2:$J$399,MATCH($B30&amp;"#1",ΔΡΑΣΕΙΣ!$I$2:$I$399,0)),"")&amp;IFERROR(CHAR(10)&amp;INDEX(ΔΡΑΣΕΙΣ!$J$2:$J$399,MATCH($B30&amp;"#2",ΔΡΑΣΕΙΣ!$I$2:$I$399,0)),"")&amp;IFERROR(CHAR(10)&amp;INDEX(ΔΡΑΣΕΙΣ!$J$2:$J$399,MATCH($B30&amp;"#3",ΔΡΑΣΕΙΣ!$I$2:$I$399,0)),""))</f>
        <v>Εορταστικές εκδηλώσεις για την 28η Οκτωβρίου (χωρίς μάθημα)</v>
      </c>
      <c r="F30" s="25" t="str">
        <f t="shared" si="2"/>
        <v>Παρ</v>
      </c>
      <c r="G30" s="26">
        <f t="shared" si="3"/>
        <v>46353</v>
      </c>
      <c r="H30" s="27" t="str">
        <f>IFERROR(INDEX(ΔΡΑΣΕΙΣ!$D$2:$D$399,MATCH($G30&amp;"#1",ΔΡΑΣΕΙΣ!$I$2:$I$399,0)),"")</f>
        <v/>
      </c>
      <c r="I30" s="28" t="str">
        <f>IF($G30="","",IFERROR(INDEX(ΔΡΑΣΕΙΣ!$J$2:$J$399,MATCH($G30&amp;"#1",ΔΡΑΣΕΙΣ!$I$2:$I$399,0)),"")&amp;IFERROR(CHAR(10)&amp;INDEX(ΔΡΑΣΕΙΣ!$J$2:$J$399,MATCH($G30&amp;"#2",ΔΡΑΣΕΙΣ!$I$2:$I$399,0)),"")&amp;IFERROR(CHAR(10)&amp;INDEX(ΔΡΑΣΕΙΣ!$J$2:$J$399,MATCH($G30&amp;"#3",ΔΡΑΣΕΙΣ!$I$2:$I$399,0)),""))</f>
        <v/>
      </c>
    </row>
    <row r="31" spans="1:9" x14ac:dyDescent="0.3">
      <c r="A31" s="25" t="str">
        <f t="shared" si="0"/>
        <v>Τετ</v>
      </c>
      <c r="B31" s="26">
        <f t="shared" si="1"/>
        <v>46323</v>
      </c>
      <c r="C31" s="27" t="str">
        <f>IFERROR(INDEX(ΔΡΑΣΕΙΣ!$D$2:$D$399,MATCH($B31&amp;"#1",ΔΡΑΣΕΙΣ!$I$2:$I$399,0)),"")</f>
        <v>Αργία / Διακοπές</v>
      </c>
      <c r="D31" s="28" t="str">
        <f>IF($B31="","",IFERROR(INDEX(ΔΡΑΣΕΙΣ!$J$2:$J$399,MATCH($B31&amp;"#1",ΔΡΑΣΕΙΣ!$I$2:$I$399,0)),"")&amp;IFERROR(CHAR(10)&amp;INDEX(ΔΡΑΣΕΙΣ!$J$2:$J$399,MATCH($B31&amp;"#2",ΔΡΑΣΕΙΣ!$I$2:$I$399,0)),"")&amp;IFERROR(CHAR(10)&amp;INDEX(ΔΡΑΣΕΙΣ!$J$2:$J$399,MATCH($B31&amp;"#3",ΔΡΑΣΕΙΣ!$I$2:$I$399,0)),""))</f>
        <v>Εθνική επέτειος 28ης Οκτωβρίου – Αργία</v>
      </c>
      <c r="F31" s="25" t="str">
        <f t="shared" si="2"/>
        <v>Σάβ</v>
      </c>
      <c r="G31" s="26">
        <f t="shared" si="3"/>
        <v>46354</v>
      </c>
      <c r="H31" s="27" t="str">
        <f>IFERROR(INDEX(ΔΡΑΣΕΙΣ!$D$2:$D$399,MATCH($G31&amp;"#1",ΔΡΑΣΕΙΣ!$I$2:$I$399,0)),"")</f>
        <v/>
      </c>
      <c r="I31" s="28" t="str">
        <f>IF($G31="","",IFERROR(INDEX(ΔΡΑΣΕΙΣ!$J$2:$J$399,MATCH($G31&amp;"#1",ΔΡΑΣΕΙΣ!$I$2:$I$399,0)),"")&amp;IFERROR(CHAR(10)&amp;INDEX(ΔΡΑΣΕΙΣ!$J$2:$J$399,MATCH($G31&amp;"#2",ΔΡΑΣΕΙΣ!$I$2:$I$399,0)),"")&amp;IFERROR(CHAR(10)&amp;INDEX(ΔΡΑΣΕΙΣ!$J$2:$J$399,MATCH($G31&amp;"#3",ΔΡΑΣΕΙΣ!$I$2:$I$399,0)),""))</f>
        <v/>
      </c>
    </row>
    <row r="32" spans="1:9" x14ac:dyDescent="0.3">
      <c r="A32" s="25" t="str">
        <f t="shared" si="0"/>
        <v>Πέμ</v>
      </c>
      <c r="B32" s="26">
        <f t="shared" si="1"/>
        <v>46324</v>
      </c>
      <c r="C32" s="27" t="str">
        <f>IFERROR(INDEX(ΔΡΑΣΕΙΣ!$D$2:$D$399,MATCH($B32&amp;"#1",ΔΡΑΣΕΙΣ!$I$2:$I$399,0)),"")</f>
        <v/>
      </c>
      <c r="D32" s="28" t="str">
        <f>IF($B32="","",IFERROR(INDEX(ΔΡΑΣΕΙΣ!$J$2:$J$399,MATCH($B32&amp;"#1",ΔΡΑΣΕΙΣ!$I$2:$I$399,0)),"")&amp;IFERROR(CHAR(10)&amp;INDEX(ΔΡΑΣΕΙΣ!$J$2:$J$399,MATCH($B32&amp;"#2",ΔΡΑΣΕΙΣ!$I$2:$I$399,0)),"")&amp;IFERROR(CHAR(10)&amp;INDEX(ΔΡΑΣΕΙΣ!$J$2:$J$399,MATCH($B32&amp;"#3",ΔΡΑΣΕΙΣ!$I$2:$I$399,0)),""))</f>
        <v/>
      </c>
      <c r="F32" s="25" t="str">
        <f t="shared" si="2"/>
        <v>Κυρ</v>
      </c>
      <c r="G32" s="26">
        <f t="shared" si="3"/>
        <v>46355</v>
      </c>
      <c r="H32" s="27" t="str">
        <f>IFERROR(INDEX(ΔΡΑΣΕΙΣ!$D$2:$D$399,MATCH($G32&amp;"#1",ΔΡΑΣΕΙΣ!$I$2:$I$399,0)),"")</f>
        <v/>
      </c>
      <c r="I32" s="28" t="str">
        <f>IF($G32="","",IFERROR(INDEX(ΔΡΑΣΕΙΣ!$J$2:$J$399,MATCH($G32&amp;"#1",ΔΡΑΣΕΙΣ!$I$2:$I$399,0)),"")&amp;IFERROR(CHAR(10)&amp;INDEX(ΔΡΑΣΕΙΣ!$J$2:$J$399,MATCH($G32&amp;"#2",ΔΡΑΣΕΙΣ!$I$2:$I$399,0)),"")&amp;IFERROR(CHAR(10)&amp;INDEX(ΔΡΑΣΕΙΣ!$J$2:$J$399,MATCH($G32&amp;"#3",ΔΡΑΣΕΙΣ!$I$2:$I$399,0)),""))</f>
        <v/>
      </c>
    </row>
    <row r="33" spans="1:9" ht="20.399999999999999" x14ac:dyDescent="0.3">
      <c r="A33" s="25" t="str">
        <f t="shared" si="0"/>
        <v>Παρ</v>
      </c>
      <c r="B33" s="26">
        <f t="shared" si="1"/>
        <v>46325</v>
      </c>
      <c r="C33" s="27" t="str">
        <f>IFERROR(INDEX(ΔΡΑΣΕΙΣ!$D$2:$D$399,MATCH($B33&amp;"#1",ΔΡΑΣΕΙΣ!$I$2:$I$399,0)),"")</f>
        <v/>
      </c>
      <c r="D33" s="28" t="str">
        <f>IF($B33="","",IFERROR(INDEX(ΔΡΑΣΕΙΣ!$J$2:$J$399,MATCH($B33&amp;"#1",ΔΡΑΣΕΙΣ!$I$2:$I$399,0)),"")&amp;IFERROR(CHAR(10)&amp;INDEX(ΔΡΑΣΕΙΣ!$J$2:$J$399,MATCH($B33&amp;"#2",ΔΡΑΣΕΙΣ!$I$2:$I$399,0)),"")&amp;IFERROR(CHAR(10)&amp;INDEX(ΔΡΑΣΕΙΣ!$J$2:$J$399,MATCH($B33&amp;"#3",ΔΡΑΣΕΙΣ!$I$2:$I$399,0)),""))</f>
        <v/>
      </c>
      <c r="F33" s="25" t="str">
        <f t="shared" si="2"/>
        <v>Δευ</v>
      </c>
      <c r="G33" s="26">
        <f t="shared" si="3"/>
        <v>46356</v>
      </c>
      <c r="H33" s="27" t="str">
        <f>IFERROR(INDEX(ΔΡΑΣΕΙΣ!$D$2:$D$399,MATCH($G33&amp;"#1",ΔΡΑΣΕΙΣ!$I$2:$I$399,0)),"")</f>
        <v>Δράση / Πρόγραμμα / Όμιλος</v>
      </c>
      <c r="I33" s="28" t="str">
        <f>IF($G33="","",IFERROR(INDEX(ΔΡΑΣΕΙΣ!$J$2:$J$399,MATCH($G33&amp;"#1",ΔΡΑΣΕΙΣ!$I$2:$I$399,0)),"")&amp;IFERROR(CHAR(10)&amp;INDEX(ΔΡΑΣΕΙΣ!$J$2:$J$399,MATCH($G33&amp;"#2",ΔΡΑΣΕΙΣ!$I$2:$I$399,0)),"")&amp;IFERROR(CHAR(10)&amp;INDEX(ΔΡΑΣΕΙΣ!$J$2:$J$399,MATCH($G33&amp;"#3",ΔΡΑΣΕΙΣ!$I$2:$I$399,0)),""))</f>
        <v>09:00-12.30  Μουσείο Μακεδονικού Αγώνα</v>
      </c>
    </row>
    <row r="34" spans="1:9" x14ac:dyDescent="0.3">
      <c r="A34" s="25" t="str">
        <f t="shared" si="0"/>
        <v>Σάβ</v>
      </c>
      <c r="B34" s="26">
        <f t="shared" si="1"/>
        <v>46326</v>
      </c>
      <c r="C34" s="27" t="str">
        <f>IFERROR(INDEX(ΔΡΑΣΕΙΣ!$D$2:$D$399,MATCH($B34&amp;"#1",ΔΡΑΣΕΙΣ!$I$2:$I$399,0)),"")</f>
        <v/>
      </c>
      <c r="D34" s="28" t="str">
        <f>IF($B34="","",IFERROR(INDEX(ΔΡΑΣΕΙΣ!$J$2:$J$399,MATCH($B34&amp;"#1",ΔΡΑΣΕΙΣ!$I$2:$I$399,0)),"")&amp;IFERROR(CHAR(10)&amp;INDEX(ΔΡΑΣΕΙΣ!$J$2:$J$399,MATCH($B34&amp;"#2",ΔΡΑΣΕΙΣ!$I$2:$I$399,0)),"")&amp;IFERROR(CHAR(10)&amp;INDEX(ΔΡΑΣΕΙΣ!$J$2:$J$399,MATCH($B34&amp;"#3",ΔΡΑΣΕΙΣ!$I$2:$I$399,0)),""))</f>
        <v/>
      </c>
      <c r="F34" s="25" t="str">
        <f t="shared" si="2"/>
        <v/>
      </c>
      <c r="G34" s="26" t="str">
        <f t="shared" si="3"/>
        <v/>
      </c>
      <c r="H34" s="27" t="str">
        <f>IFERROR(INDEX(ΔΡΑΣΕΙΣ!$D$2:$D$399,MATCH($G34&amp;"#1",ΔΡΑΣΕΙΣ!$I$2:$I$399,0)),"")</f>
        <v/>
      </c>
      <c r="I34" s="28" t="str">
        <f>IF($G34="","",IFERROR(INDEX(ΔΡΑΣΕΙΣ!$J$2:$J$399,MATCH($G34&amp;"#1",ΔΡΑΣΕΙΣ!$I$2:$I$399,0)),"")&amp;IFERROR(CHAR(10)&amp;INDEX(ΔΡΑΣΕΙΣ!$J$2:$J$399,MATCH($G34&amp;"#2",ΔΡΑΣΕΙΣ!$I$2:$I$399,0)),"")&amp;IFERROR(CHAR(10)&amp;INDEX(ΔΡΑΣΕΙΣ!$J$2:$J$399,MATCH($G34&amp;"#3",ΔΡΑΣΕΙΣ!$I$2:$I$399,0)),""))</f>
        <v/>
      </c>
    </row>
    <row r="36" spans="1:9" x14ac:dyDescent="0.3">
      <c r="A36" s="29" t="s">
        <v>67</v>
      </c>
    </row>
    <row r="37" spans="1:9" ht="15" customHeight="1" x14ac:dyDescent="0.3">
      <c r="A37" s="7"/>
      <c r="B37" s="93" t="s">
        <v>25</v>
      </c>
      <c r="C37" s="93"/>
      <c r="D37" s="93"/>
      <c r="F37" s="12"/>
      <c r="G37" s="93" t="s">
        <v>29</v>
      </c>
      <c r="H37" s="93"/>
      <c r="I37" s="93"/>
    </row>
    <row r="38" spans="1:9" ht="15" customHeight="1" x14ac:dyDescent="0.3">
      <c r="A38" s="9"/>
      <c r="B38" s="93" t="s">
        <v>26</v>
      </c>
      <c r="C38" s="93"/>
      <c r="D38" s="93"/>
      <c r="F38" s="13"/>
      <c r="G38" s="93" t="s">
        <v>30</v>
      </c>
      <c r="H38" s="93"/>
      <c r="I38" s="93"/>
    </row>
    <row r="39" spans="1:9" ht="15" customHeight="1" x14ac:dyDescent="0.3">
      <c r="A39" s="10"/>
      <c r="B39" s="93" t="s">
        <v>27</v>
      </c>
      <c r="C39" s="93"/>
      <c r="D39" s="93"/>
      <c r="F39" s="14"/>
      <c r="G39" s="93" t="s">
        <v>31</v>
      </c>
      <c r="H39" s="93"/>
      <c r="I39" s="93"/>
    </row>
    <row r="40" spans="1:9" ht="15" customHeight="1" x14ac:dyDescent="0.3">
      <c r="A40" s="11"/>
      <c r="B40" s="93" t="s">
        <v>28</v>
      </c>
      <c r="C40" s="93"/>
      <c r="D40" s="93"/>
      <c r="F40" s="15"/>
      <c r="G40" s="93" t="s">
        <v>32</v>
      </c>
      <c r="H40" s="93"/>
      <c r="I40" s="93"/>
    </row>
  </sheetData>
  <mergeCells count="11">
    <mergeCell ref="B39:D39"/>
    <mergeCell ref="G39:I39"/>
    <mergeCell ref="B40:D40"/>
    <mergeCell ref="G40:I40"/>
    <mergeCell ref="A1:I1"/>
    <mergeCell ref="A2:D2"/>
    <mergeCell ref="F2:I2"/>
    <mergeCell ref="B37:D37"/>
    <mergeCell ref="G37:I37"/>
    <mergeCell ref="B38:D38"/>
    <mergeCell ref="G38:I38"/>
  </mergeCells>
  <conditionalFormatting sqref="A4:D34">
    <cfRule type="expression" dxfId="36" priority="1">
      <formula>$C4="Αργία / Διακοπές"</formula>
    </cfRule>
    <cfRule type="expression" dxfId="35" priority="2">
      <formula>$C4="Εορτή / Εκκλησιασμός"</formula>
    </cfRule>
    <cfRule type="expression" dxfId="34" priority="3">
      <formula>$C4="Εκδρομή / Επίσκεψη / Περίπατος"</formula>
    </cfRule>
    <cfRule type="expression" dxfId="33" priority="4">
      <formula>$C4="Σύλλογος διδασκόντων"</formula>
    </cfRule>
    <cfRule type="expression" dxfId="32" priority="5">
      <formula>$C4="Ενημέρωση γονέων / Έλεγχοι"</formula>
    </cfRule>
    <cfRule type="expression" dxfId="31" priority="6">
      <formula>$C4="Ορόσημο / Εξετάσεις"</formula>
    </cfRule>
    <cfRule type="expression" dxfId="30" priority="7">
      <formula>$C4="Επιμόρφωση εκπαιδευτικών"</formula>
    </cfRule>
    <cfRule type="expression" dxfId="29" priority="8">
      <formula>$C4="Δράση / Πρόγραμμα / Όμιλος"</formula>
    </cfRule>
    <cfRule type="expression" dxfId="28" priority="9">
      <formula>IF($B4="",0,WEEKDAY($B4,2)&gt;5)</formula>
    </cfRule>
  </conditionalFormatting>
  <conditionalFormatting sqref="F4:I34">
    <cfRule type="expression" dxfId="27" priority="10">
      <formula>$H4="Αργία / Διακοπές"</formula>
    </cfRule>
    <cfRule type="expression" dxfId="26" priority="11">
      <formula>$H4="Εορτή / Εκκλησιασμός"</formula>
    </cfRule>
    <cfRule type="expression" dxfId="25" priority="12">
      <formula>$H4="Εκδρομή / Επίσκεψη / Περίπατος"</formula>
    </cfRule>
    <cfRule type="expression" dxfId="24" priority="13">
      <formula>$H4="Σύλλογος διδασκόντων"</formula>
    </cfRule>
    <cfRule type="expression" dxfId="23" priority="14">
      <formula>$H4="Ενημέρωση γονέων / Έλεγχοι"</formula>
    </cfRule>
    <cfRule type="expression" dxfId="22" priority="15">
      <formula>$H4="Ορόσημο / Εξετάσεις"</formula>
    </cfRule>
    <cfRule type="expression" dxfId="21" priority="16">
      <formula>$H4="Επιμόρφωση εκπαιδευτικών"</formula>
    </cfRule>
    <cfRule type="expression" dxfId="20" priority="17">
      <formula>$H4="Δράση / Πρόγραμμα / Όμιλος"</formula>
    </cfRule>
    <cfRule type="expression" dxfId="19" priority="18">
      <formula>IF($G4="",0,WEEKDAY($G4,2)&gt;5)</formula>
    </cfRule>
  </conditionalFormatting>
  <dataValidations count="1">
    <dataValidation type="list" allowBlank="1" showInputMessage="1" showErrorMessage="1" sqref="L2:L3" xr:uid="{DFE7F3CE-BECF-4E71-89F3-6AE4AFCC001C}">
      <formula1>$N$2:$N$11</formula1>
    </dataValidation>
  </dataValidations>
  <printOptions horizontalCentered="1" verticalCentered="1"/>
  <pageMargins left="0.27777777777777779" right="0.27777777777777779" top="0.27777777777777779" bottom="0.27777777777777779" header="0.511811023622047" footer="0.5"/>
  <pageSetup paperSize="8" orientation="landscape" horizontalDpi="300" verticalDpi="300" r:id="rId1"/>
  <headerFooter>
    <oddFooter>&amp;L3ο ΓΥΜΝΑΣΙΟ ΠΟΛΙΧΝΗΣ&amp;R&amp;D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ACF7-0F1F-44BF-9C1D-9A31DA5AAD6C}">
  <sheetPr>
    <pageSetUpPr fitToPage="1"/>
  </sheetPr>
  <dimension ref="A1:Z60"/>
  <sheetViews>
    <sheetView showGridLines="0" tabSelected="1" zoomScale="70" zoomScaleNormal="100" workbookViewId="0">
      <selection activeCell="L2" sqref="L2"/>
    </sheetView>
  </sheetViews>
  <sheetFormatPr defaultColWidth="8.6640625" defaultRowHeight="14.4" x14ac:dyDescent="0.3"/>
  <cols>
    <col min="1" max="5" width="34.21875" customWidth="1"/>
    <col min="6" max="7" width="20.33203125" customWidth="1"/>
    <col min="8" max="10" width="3.6640625" customWidth="1"/>
    <col min="11" max="11" width="20.33203125" customWidth="1"/>
    <col min="12" max="12" width="16.6640625" customWidth="1"/>
    <col min="14" max="14" width="16.6640625" customWidth="1"/>
  </cols>
  <sheetData>
    <row r="1" spans="1:26" ht="28.05" customHeight="1" x14ac:dyDescent="0.3">
      <c r="A1" s="89" t="str">
        <f>ΟΔΗΓΙΕΣ!$A$1</f>
        <v>3ο ΓΥΜΝΑΣΙΟ ΠΟΛΙΧΝΗΣ  ·  ΗΜΕΡΟΛΟΓΙΟ ΔΡΑΣΕΩΝ  ·  ΣΧΟΛΙΚΟ ΕΤΟΣ 2026-27</v>
      </c>
      <c r="B1" s="89"/>
      <c r="C1" s="89"/>
      <c r="D1" s="89"/>
      <c r="E1" s="89"/>
      <c r="F1" s="89"/>
      <c r="G1" s="89"/>
      <c r="H1" s="57"/>
      <c r="I1" s="57"/>
      <c r="J1" s="57"/>
      <c r="K1" s="60" t="s">
        <v>89</v>
      </c>
      <c r="L1" s="58"/>
      <c r="M1" s="58"/>
      <c r="N1" s="58" t="s">
        <v>68</v>
      </c>
      <c r="O1" s="58" t="s">
        <v>69</v>
      </c>
      <c r="P1" s="58" t="s">
        <v>70</v>
      </c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34.049999999999997" customHeight="1" thickBot="1" x14ac:dyDescent="0.35">
      <c r="A2" s="90" t="str">
        <f>$L$2&amp;" "&amp;$L$6</f>
        <v>ΝΟΕΜΒΡΙΟΣ 2026</v>
      </c>
      <c r="B2" s="90"/>
      <c r="C2" s="90"/>
      <c r="D2" s="90"/>
      <c r="E2" s="90"/>
      <c r="F2" s="90"/>
      <c r="G2" s="90"/>
      <c r="H2" s="57"/>
      <c r="I2" s="57"/>
      <c r="J2" s="57"/>
      <c r="K2" s="58" t="s">
        <v>90</v>
      </c>
      <c r="L2" s="61" t="s">
        <v>73</v>
      </c>
      <c r="M2" s="58"/>
      <c r="N2" s="58" t="s">
        <v>71</v>
      </c>
      <c r="O2" s="58">
        <v>9</v>
      </c>
      <c r="P2" s="58">
        <v>0</v>
      </c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9.95" customHeight="1" thickBot="1" x14ac:dyDescent="0.35">
      <c r="A3" s="69" t="s">
        <v>129</v>
      </c>
      <c r="B3" s="69" t="s">
        <v>130</v>
      </c>
      <c r="C3" s="69" t="s">
        <v>131</v>
      </c>
      <c r="D3" s="69" t="s">
        <v>132</v>
      </c>
      <c r="E3" s="69" t="s">
        <v>133</v>
      </c>
      <c r="F3" s="70" t="s">
        <v>134</v>
      </c>
      <c r="G3" s="70" t="s">
        <v>135</v>
      </c>
      <c r="H3" s="57"/>
      <c r="I3" s="57"/>
      <c r="J3" s="57"/>
      <c r="K3" s="58"/>
      <c r="L3" s="58"/>
      <c r="M3" s="58"/>
      <c r="N3" s="58" t="s">
        <v>72</v>
      </c>
      <c r="O3" s="58">
        <v>10</v>
      </c>
      <c r="P3" s="58">
        <v>0</v>
      </c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8" customHeight="1" x14ac:dyDescent="0.3">
      <c r="A4" s="68" t="str">
        <f>IF(MONTH($L$7+0)=$L$5,$L$7+0,"")</f>
        <v/>
      </c>
      <c r="B4" s="68" t="str">
        <f>IF(MONTH($L$7+1)=$L$5,$L$7+1,"")</f>
        <v/>
      </c>
      <c r="C4" s="68" t="str">
        <f>IF(MONTH($L$7+2)=$L$5,$L$7+2,"")</f>
        <v/>
      </c>
      <c r="D4" s="68" t="str">
        <f>IF(MONTH($L$7+3)=$L$5,$L$7+3,"")</f>
        <v/>
      </c>
      <c r="E4" s="68" t="str">
        <f>IF(MONTH($L$7+4)=$L$5,$L$7+4,"")</f>
        <v/>
      </c>
      <c r="F4" s="68" t="str">
        <f>IF(MONTH($L$7+5)=$L$5,$L$7+5,"")</f>
        <v/>
      </c>
      <c r="G4" s="68">
        <f>IF(MONTH($L$7+6)=$L$5,$L$7+6,"")</f>
        <v>46327</v>
      </c>
      <c r="H4" s="57"/>
      <c r="I4" s="57"/>
      <c r="J4" s="57"/>
      <c r="K4" s="58"/>
      <c r="L4" s="58"/>
      <c r="M4" s="58"/>
      <c r="N4" s="58" t="s">
        <v>73</v>
      </c>
      <c r="O4" s="58">
        <v>11</v>
      </c>
      <c r="P4" s="58">
        <v>0</v>
      </c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36" customHeight="1" x14ac:dyDescent="0.3">
      <c r="A5" s="63" t="str">
        <f>IF(A4="","",IFERROR(INDEX(ΔΡΑΣΕΙΣ!$J$2:$J$399,MATCH(A4&amp;"#1",ΔΡΑΣΕΙΣ!$I$2:$I$399,0)),"")&amp;IFERROR(CHAR(10)&amp;INDEX(ΔΡΑΣΕΙΣ!$J$2:$J$399,MATCH(A4&amp;"#2",ΔΡΑΣΕΙΣ!$I$2:$I$399,0)),"")&amp;IFERROR(CHAR(10)&amp;INDEX(ΔΡΑΣΕΙΣ!$J$2:$J$399,MATCH(A4&amp;"#3",ΔΡΑΣΕΙΣ!$I$2:$I$399,0)),""))</f>
        <v/>
      </c>
      <c r="B5" s="63" t="str">
        <f>IF(B4="","",IFERROR(INDEX(ΔΡΑΣΕΙΣ!$J$2:$J$399,MATCH(B4&amp;"#1",ΔΡΑΣΕΙΣ!$I$2:$I$399,0)),"")&amp;IFERROR(CHAR(10)&amp;INDEX(ΔΡΑΣΕΙΣ!$J$2:$J$399,MATCH(B4&amp;"#2",ΔΡΑΣΕΙΣ!$I$2:$I$399,0)),"")&amp;IFERROR(CHAR(10)&amp;INDEX(ΔΡΑΣΕΙΣ!$J$2:$J$399,MATCH(B4&amp;"#3",ΔΡΑΣΕΙΣ!$I$2:$I$399,0)),""))</f>
        <v/>
      </c>
      <c r="C5" s="63" t="str">
        <f>IF(C4="","",IFERROR(INDEX(ΔΡΑΣΕΙΣ!$J$2:$J$399,MATCH(C4&amp;"#1",ΔΡΑΣΕΙΣ!$I$2:$I$399,0)),"")&amp;IFERROR(CHAR(10)&amp;INDEX(ΔΡΑΣΕΙΣ!$J$2:$J$399,MATCH(C4&amp;"#2",ΔΡΑΣΕΙΣ!$I$2:$I$399,0)),"")&amp;IFERROR(CHAR(10)&amp;INDEX(ΔΡΑΣΕΙΣ!$J$2:$J$399,MATCH(C4&amp;"#3",ΔΡΑΣΕΙΣ!$I$2:$I$399,0)),""))</f>
        <v/>
      </c>
      <c r="D5" s="63" t="str">
        <f>IF(D4="","",IFERROR(INDEX(ΔΡΑΣΕΙΣ!$J$2:$J$399,MATCH(D4&amp;"#1",ΔΡΑΣΕΙΣ!$I$2:$I$399,0)),"")&amp;IFERROR(CHAR(10)&amp;INDEX(ΔΡΑΣΕΙΣ!$J$2:$J$399,MATCH(D4&amp;"#2",ΔΡΑΣΕΙΣ!$I$2:$I$399,0)),"")&amp;IFERROR(CHAR(10)&amp;INDEX(ΔΡΑΣΕΙΣ!$J$2:$J$399,MATCH(D4&amp;"#3",ΔΡΑΣΕΙΣ!$I$2:$I$399,0)),""))</f>
        <v/>
      </c>
      <c r="E5" s="63" t="str">
        <f>IF(E4="","",IFERROR(INDEX(ΔΡΑΣΕΙΣ!$J$2:$J$399,MATCH(E4&amp;"#1",ΔΡΑΣΕΙΣ!$I$2:$I$399,0)),"")&amp;IFERROR(CHAR(10)&amp;INDEX(ΔΡΑΣΕΙΣ!$J$2:$J$399,MATCH(E4&amp;"#2",ΔΡΑΣΕΙΣ!$I$2:$I$399,0)),"")&amp;IFERROR(CHAR(10)&amp;INDEX(ΔΡΑΣΕΙΣ!$J$2:$J$399,MATCH(E4&amp;"#3",ΔΡΑΣΕΙΣ!$I$2:$I$399,0)),""))</f>
        <v/>
      </c>
      <c r="F5" s="63" t="str">
        <f>IF(F4="","",IFERROR(INDEX(ΔΡΑΣΕΙΣ!$J$2:$J$399,MATCH(F4&amp;"#1",ΔΡΑΣΕΙΣ!$I$2:$I$399,0)),"")&amp;IFERROR(CHAR(10)&amp;INDEX(ΔΡΑΣΕΙΣ!$J$2:$J$399,MATCH(F4&amp;"#2",ΔΡΑΣΕΙΣ!$I$2:$I$399,0)),"")&amp;IFERROR(CHAR(10)&amp;INDEX(ΔΡΑΣΕΙΣ!$J$2:$J$399,MATCH(F4&amp;"#3",ΔΡΑΣΕΙΣ!$I$2:$I$399,0)),""))</f>
        <v/>
      </c>
      <c r="G5" s="63" t="str">
        <f>IF(G4="","",IFERROR(INDEX(ΔΡΑΣΕΙΣ!$J$2:$J$399,MATCH(G4&amp;"#1",ΔΡΑΣΕΙΣ!$I$2:$I$399,0)),"")&amp;IFERROR(CHAR(10)&amp;INDEX(ΔΡΑΣΕΙΣ!$J$2:$J$399,MATCH(G4&amp;"#2",ΔΡΑΣΕΙΣ!$I$2:$I$399,0)),"")&amp;IFERROR(CHAR(10)&amp;INDEX(ΔΡΑΣΕΙΣ!$J$2:$J$399,MATCH(G4&amp;"#3",ΔΡΑΣΕΙΣ!$I$2:$I$399,0)),""))</f>
        <v/>
      </c>
      <c r="H5" s="57"/>
      <c r="I5" s="57"/>
      <c r="J5" s="57"/>
      <c r="K5" s="58" t="s">
        <v>126</v>
      </c>
      <c r="L5" s="58">
        <f>INDEX($O$2:$O$11,MATCH($L$2,$N$2:$N$11,0))</f>
        <v>11</v>
      </c>
      <c r="M5" s="58"/>
      <c r="N5" s="58" t="s">
        <v>74</v>
      </c>
      <c r="O5" s="58">
        <v>12</v>
      </c>
      <c r="P5" s="58">
        <v>0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95" customHeight="1" x14ac:dyDescent="0.3">
      <c r="A6" s="64"/>
      <c r="B6" s="64"/>
      <c r="C6" s="64"/>
      <c r="D6" s="64"/>
      <c r="E6" s="64"/>
      <c r="F6" s="71"/>
      <c r="G6" s="71"/>
      <c r="H6" s="57"/>
      <c r="I6" s="57"/>
      <c r="J6" s="57"/>
      <c r="K6" s="58" t="s">
        <v>127</v>
      </c>
      <c r="L6" s="58">
        <f>ΟΔΗΓΙΕΣ!$B$3+INDEX($P$2:$P$11,MATCH($L$2,$N$2:$N$11,0))</f>
        <v>2026</v>
      </c>
      <c r="M6" s="58"/>
      <c r="N6" s="58" t="s">
        <v>75</v>
      </c>
      <c r="O6" s="58">
        <v>1</v>
      </c>
      <c r="P6" s="58">
        <v>1</v>
      </c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9.95" customHeight="1" x14ac:dyDescent="0.3">
      <c r="A7" s="65"/>
      <c r="B7" s="65"/>
      <c r="C7" s="65"/>
      <c r="D7" s="65"/>
      <c r="E7" s="65"/>
      <c r="F7" s="72"/>
      <c r="G7" s="72"/>
      <c r="H7" s="57"/>
      <c r="I7" s="57"/>
      <c r="J7" s="57"/>
      <c r="K7" s="58" t="s">
        <v>128</v>
      </c>
      <c r="L7" s="59">
        <f>DATE($L$6,$L$5,1)-WEEKDAY(DATE($L$6,$L$5,1),2)+1</f>
        <v>46321</v>
      </c>
      <c r="M7" s="58"/>
      <c r="N7" s="58" t="s">
        <v>76</v>
      </c>
      <c r="O7" s="58">
        <v>2</v>
      </c>
      <c r="P7" s="58">
        <v>1</v>
      </c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9.95" customHeight="1" thickBot="1" x14ac:dyDescent="0.35">
      <c r="A8" s="67"/>
      <c r="B8" s="67"/>
      <c r="C8" s="67"/>
      <c r="D8" s="67"/>
      <c r="E8" s="67"/>
      <c r="F8" s="73"/>
      <c r="G8" s="73"/>
      <c r="H8" s="57"/>
      <c r="I8" s="57"/>
      <c r="J8" s="57"/>
      <c r="K8" s="58"/>
      <c r="L8" s="58"/>
      <c r="M8" s="58"/>
      <c r="N8" s="58" t="s">
        <v>77</v>
      </c>
      <c r="O8" s="58">
        <v>3</v>
      </c>
      <c r="P8" s="58">
        <v>1</v>
      </c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8" customHeight="1" x14ac:dyDescent="0.3">
      <c r="A9" s="62">
        <f>IF(MONTH($L$7+7)=$L$5,$L$7+7,"")</f>
        <v>46328</v>
      </c>
      <c r="B9" s="62">
        <f>IF(MONTH($L$7+8)=$L$5,$L$7+8,"")</f>
        <v>46329</v>
      </c>
      <c r="C9" s="62">
        <f>IF(MONTH($L$7+9)=$L$5,$L$7+9,"")</f>
        <v>46330</v>
      </c>
      <c r="D9" s="62">
        <f>IF(MONTH($L$7+10)=$L$5,$L$7+10,"")</f>
        <v>46331</v>
      </c>
      <c r="E9" s="62">
        <f>IF(MONTH($L$7+11)=$L$5,$L$7+11,"")</f>
        <v>46332</v>
      </c>
      <c r="F9" s="62">
        <f>IF(MONTH($L$7+12)=$L$5,$L$7+12,"")</f>
        <v>46333</v>
      </c>
      <c r="G9" s="62">
        <f>IF(MONTH($L$7+13)=$L$5,$L$7+13,"")</f>
        <v>46334</v>
      </c>
      <c r="H9" s="57"/>
      <c r="I9" s="57"/>
      <c r="J9" s="57"/>
      <c r="K9" s="58"/>
      <c r="L9" s="58"/>
      <c r="M9" s="58"/>
      <c r="N9" s="58" t="s">
        <v>78</v>
      </c>
      <c r="O9" s="58">
        <v>4</v>
      </c>
      <c r="P9" s="58">
        <v>1</v>
      </c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36" customHeight="1" x14ac:dyDescent="0.3">
      <c r="A10" s="63" t="str">
        <f>IF(A9="","",IFERROR(INDEX(ΔΡΑΣΕΙΣ!$J$2:$J$399,MATCH(A9&amp;"#1",ΔΡΑΣΕΙΣ!$I$2:$I$399,0)),"")&amp;IFERROR(CHAR(10)&amp;INDEX(ΔΡΑΣΕΙΣ!$J$2:$J$399,MATCH(A9&amp;"#2",ΔΡΑΣΕΙΣ!$I$2:$I$399,0)),"")&amp;IFERROR(CHAR(10)&amp;INDEX(ΔΡΑΣΕΙΣ!$J$2:$J$399,MATCH(A9&amp;"#3",ΔΡΑΣΕΙΣ!$I$2:$I$399,0)),""))</f>
        <v/>
      </c>
      <c r="B10" s="63" t="str">
        <f>IF(B9="","",IFERROR(INDEX(ΔΡΑΣΕΙΣ!$J$2:$J$399,MATCH(B9&amp;"#1",ΔΡΑΣΕΙΣ!$I$2:$I$399,0)),"")&amp;IFERROR(CHAR(10)&amp;INDEX(ΔΡΑΣΕΙΣ!$J$2:$J$399,MATCH(B9&amp;"#2",ΔΡΑΣΕΙΣ!$I$2:$I$399,0)),"")&amp;IFERROR(CHAR(10)&amp;INDEX(ΔΡΑΣΕΙΣ!$J$2:$J$399,MATCH(B9&amp;"#3",ΔΡΑΣΕΙΣ!$I$2:$I$399,0)),""))</f>
        <v/>
      </c>
      <c r="C10" s="63" t="str">
        <f>IF(C9="","",IFERROR(INDEX(ΔΡΑΣΕΙΣ!$J$2:$J$399,MATCH(C9&amp;"#1",ΔΡΑΣΕΙΣ!$I$2:$I$399,0)),"")&amp;IFERROR(CHAR(10)&amp;INDEX(ΔΡΑΣΕΙΣ!$J$2:$J$399,MATCH(C9&amp;"#2",ΔΡΑΣΕΙΣ!$I$2:$I$399,0)),"")&amp;IFERROR(CHAR(10)&amp;INDEX(ΔΡΑΣΕΙΣ!$J$2:$J$399,MATCH(C9&amp;"#3",ΔΡΑΣΕΙΣ!$I$2:$I$399,0)),""))</f>
        <v>08:45-11:15  Διαδικτυακή εκπαίδευση «Kids Save Lives»</v>
      </c>
      <c r="D10" s="63" t="str">
        <f>IF(D9="","",IFERROR(INDEX(ΔΡΑΣΕΙΣ!$J$2:$J$399,MATCH(D9&amp;"#1",ΔΡΑΣΕΙΣ!$I$2:$I$399,0)),"")&amp;IFERROR(CHAR(10)&amp;INDEX(ΔΡΑΣΕΙΣ!$J$2:$J$399,MATCH(D9&amp;"#2",ΔΡΑΣΕΙΣ!$I$2:$I$399,0)),"")&amp;IFERROR(CHAR(10)&amp;INDEX(ΔΡΑΣΕΙΣ!$J$2:$J$399,MATCH(D9&amp;"#3",ΔΡΑΣΕΙΣ!$I$2:$I$399,0)),""))</f>
        <v/>
      </c>
      <c r="E10" s="63" t="str">
        <f>IF(E9="","",IFERROR(INDEX(ΔΡΑΣΕΙΣ!$J$2:$J$399,MATCH(E9&amp;"#1",ΔΡΑΣΕΙΣ!$I$2:$I$399,0)),"")&amp;IFERROR(CHAR(10)&amp;INDEX(ΔΡΑΣΕΙΣ!$J$2:$J$399,MATCH(E9&amp;"#2",ΔΡΑΣΕΙΣ!$I$2:$I$399,0)),"")&amp;IFERROR(CHAR(10)&amp;INDEX(ΔΡΑΣΕΙΣ!$J$2:$J$399,MATCH(E9&amp;"#3",ΔΡΑΣΕΙΣ!$I$2:$I$399,0)),""))</f>
        <v/>
      </c>
      <c r="F10" s="63" t="str">
        <f>IF(F9="","",IFERROR(INDEX(ΔΡΑΣΕΙΣ!$J$2:$J$399,MATCH(F9&amp;"#1",ΔΡΑΣΕΙΣ!$I$2:$I$399,0)),"")&amp;IFERROR(CHAR(10)&amp;INDEX(ΔΡΑΣΕΙΣ!$J$2:$J$399,MATCH(F9&amp;"#2",ΔΡΑΣΕΙΣ!$I$2:$I$399,0)),"")&amp;IFERROR(CHAR(10)&amp;INDEX(ΔΡΑΣΕΙΣ!$J$2:$J$399,MATCH(F9&amp;"#3",ΔΡΑΣΕΙΣ!$I$2:$I$399,0)),""))</f>
        <v/>
      </c>
      <c r="G10" s="63" t="str">
        <f>IF(G9="","",IFERROR(INDEX(ΔΡΑΣΕΙΣ!$J$2:$J$399,MATCH(G9&amp;"#1",ΔΡΑΣΕΙΣ!$I$2:$I$399,0)),"")&amp;IFERROR(CHAR(10)&amp;INDEX(ΔΡΑΣΕΙΣ!$J$2:$J$399,MATCH(G9&amp;"#2",ΔΡΑΣΕΙΣ!$I$2:$I$399,0)),"")&amp;IFERROR(CHAR(10)&amp;INDEX(ΔΡΑΣΕΙΣ!$J$2:$J$399,MATCH(G9&amp;"#3",ΔΡΑΣΕΙΣ!$I$2:$I$399,0)),""))</f>
        <v/>
      </c>
      <c r="H10" s="57"/>
      <c r="I10" s="57"/>
      <c r="J10" s="57"/>
      <c r="K10" s="58"/>
      <c r="L10" s="58"/>
      <c r="M10" s="58"/>
      <c r="N10" s="58" t="s">
        <v>79</v>
      </c>
      <c r="O10" s="58">
        <v>5</v>
      </c>
      <c r="P10" s="58">
        <v>1</v>
      </c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9.95" customHeight="1" x14ac:dyDescent="0.3">
      <c r="A11" s="64"/>
      <c r="B11" s="64"/>
      <c r="C11" s="64"/>
      <c r="D11" s="64"/>
      <c r="E11" s="64"/>
      <c r="F11" s="71"/>
      <c r="G11" s="71"/>
      <c r="H11" s="57"/>
      <c r="I11" s="57"/>
      <c r="J11" s="57"/>
      <c r="K11" s="58"/>
      <c r="L11" s="58"/>
      <c r="M11" s="58"/>
      <c r="N11" s="58" t="s">
        <v>80</v>
      </c>
      <c r="O11" s="58">
        <v>6</v>
      </c>
      <c r="P11" s="58">
        <v>1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9.95" customHeight="1" x14ac:dyDescent="0.3">
      <c r="A12" s="65"/>
      <c r="B12" s="65"/>
      <c r="C12" s="65"/>
      <c r="D12" s="65"/>
      <c r="E12" s="65"/>
      <c r="F12" s="72"/>
      <c r="G12" s="72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9.95" customHeight="1" thickBot="1" x14ac:dyDescent="0.35">
      <c r="A13" s="67"/>
      <c r="B13" s="67"/>
      <c r="C13" s="67"/>
      <c r="D13" s="67"/>
      <c r="E13" s="67"/>
      <c r="F13" s="73"/>
      <c r="G13" s="73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8" customHeight="1" x14ac:dyDescent="0.3">
      <c r="A14" s="62">
        <f>IF(MONTH($L$7+14)=$L$5,$L$7+14,"")</f>
        <v>46335</v>
      </c>
      <c r="B14" s="62">
        <f>IF(MONTH($L$7+15)=$L$5,$L$7+15,"")</f>
        <v>46336</v>
      </c>
      <c r="C14" s="62">
        <f>IF(MONTH($L$7+16)=$L$5,$L$7+16,"")</f>
        <v>46337</v>
      </c>
      <c r="D14" s="62">
        <f>IF(MONTH($L$7+17)=$L$5,$L$7+17,"")</f>
        <v>46338</v>
      </c>
      <c r="E14" s="62">
        <f>IF(MONTH($L$7+18)=$L$5,$L$7+18,"")</f>
        <v>46339</v>
      </c>
      <c r="F14" s="62">
        <f>IF(MONTH($L$7+19)=$L$5,$L$7+19,"")</f>
        <v>46340</v>
      </c>
      <c r="G14" s="62">
        <f>IF(MONTH($L$7+20)=$L$5,$L$7+20,"")</f>
        <v>46341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36" customHeight="1" x14ac:dyDescent="0.3">
      <c r="A15" s="63" t="str">
        <f>IF(A14="","",IFERROR(INDEX(ΔΡΑΣΕΙΣ!$J$2:$J$399,MATCH(A14&amp;"#1",ΔΡΑΣΕΙΣ!$I$2:$I$399,0)),"")&amp;IFERROR(CHAR(10)&amp;INDEX(ΔΡΑΣΕΙΣ!$J$2:$J$399,MATCH(A14&amp;"#2",ΔΡΑΣΕΙΣ!$I$2:$I$399,0)),"")&amp;IFERROR(CHAR(10)&amp;INDEX(ΔΡΑΣΕΙΣ!$J$2:$J$399,MATCH(A14&amp;"#3",ΔΡΑΣΕΙΣ!$I$2:$I$399,0)),""))</f>
        <v/>
      </c>
      <c r="B15" s="63" t="str">
        <f>IF(B14="","",IFERROR(INDEX(ΔΡΑΣΕΙΣ!$J$2:$J$399,MATCH(B14&amp;"#1",ΔΡΑΣΕΙΣ!$I$2:$I$399,0)),"")&amp;IFERROR(CHAR(10)&amp;INDEX(ΔΡΑΣΕΙΣ!$J$2:$J$399,MATCH(B14&amp;"#2",ΔΡΑΣΕΙΣ!$I$2:$I$399,0)),"")&amp;IFERROR(CHAR(10)&amp;INDEX(ΔΡΑΣΕΙΣ!$J$2:$J$399,MATCH(B14&amp;"#3",ΔΡΑΣΕΙΣ!$I$2:$I$399,0)),""))</f>
        <v/>
      </c>
      <c r="C15" s="63" t="str">
        <f>IF(C14="","",IFERROR(INDEX(ΔΡΑΣΕΙΣ!$J$2:$J$399,MATCH(C14&amp;"#1",ΔΡΑΣΕΙΣ!$I$2:$I$399,0)),"")&amp;IFERROR(CHAR(10)&amp;INDEX(ΔΡΑΣΕΙΣ!$J$2:$J$399,MATCH(C14&amp;"#2",ΔΡΑΣΕΙΣ!$I$2:$I$399,0)),"")&amp;IFERROR(CHAR(10)&amp;INDEX(ΔΡΑΣΕΙΣ!$J$2:$J$399,MATCH(C14&amp;"#3",ΔΡΑΣΕΙΣ!$I$2:$I$399,0)),""))</f>
        <v/>
      </c>
      <c r="D15" s="63" t="str">
        <f>IF(D14="","",IFERROR(INDEX(ΔΡΑΣΕΙΣ!$J$2:$J$399,MATCH(D14&amp;"#1",ΔΡΑΣΕΙΣ!$I$2:$I$399,0)),"")&amp;IFERROR(CHAR(10)&amp;INDEX(ΔΡΑΣΕΙΣ!$J$2:$J$399,MATCH(D14&amp;"#2",ΔΡΑΣΕΙΣ!$I$2:$I$399,0)),"")&amp;IFERROR(CHAR(10)&amp;INDEX(ΔΡΑΣΕΙΣ!$J$2:$J$399,MATCH(D14&amp;"#3",ΔΡΑΣΕΙΣ!$I$2:$I$399,0)),""))</f>
        <v/>
      </c>
      <c r="E15" s="63" t="str">
        <f>IF(E14="","",IFERROR(INDEX(ΔΡΑΣΕΙΣ!$J$2:$J$399,MATCH(E14&amp;"#1",ΔΡΑΣΕΙΣ!$I$2:$I$399,0)),"")&amp;IFERROR(CHAR(10)&amp;INDEX(ΔΡΑΣΕΙΣ!$J$2:$J$399,MATCH(E14&amp;"#2",ΔΡΑΣΕΙΣ!$I$2:$I$399,0)),"")&amp;IFERROR(CHAR(10)&amp;INDEX(ΔΡΑΣΕΙΣ!$J$2:$J$399,MATCH(E14&amp;"#3",ΔΡΑΣΕΙΣ!$I$2:$I$399,0)),""))</f>
        <v/>
      </c>
      <c r="F15" s="63" t="str">
        <f>IF(F14="","",IFERROR(INDEX(ΔΡΑΣΕΙΣ!$J$2:$J$399,MATCH(F14&amp;"#1",ΔΡΑΣΕΙΣ!$I$2:$I$399,0)),"")&amp;IFERROR(CHAR(10)&amp;INDEX(ΔΡΑΣΕΙΣ!$J$2:$J$399,MATCH(F14&amp;"#2",ΔΡΑΣΕΙΣ!$I$2:$I$399,0)),"")&amp;IFERROR(CHAR(10)&amp;INDEX(ΔΡΑΣΕΙΣ!$J$2:$J$399,MATCH(F14&amp;"#3",ΔΡΑΣΕΙΣ!$I$2:$I$399,0)),""))</f>
        <v/>
      </c>
      <c r="G15" s="63" t="str">
        <f>IF(G14="","",IFERROR(INDEX(ΔΡΑΣΕΙΣ!$J$2:$J$399,MATCH(G14&amp;"#1",ΔΡΑΣΕΙΣ!$I$2:$I$399,0)),"")&amp;IFERROR(CHAR(10)&amp;INDEX(ΔΡΑΣΕΙΣ!$J$2:$J$399,MATCH(G14&amp;"#2",ΔΡΑΣΕΙΣ!$I$2:$I$399,0)),"")&amp;IFERROR(CHAR(10)&amp;INDEX(ΔΡΑΣΕΙΣ!$J$2:$J$399,MATCH(G14&amp;"#3",ΔΡΑΣΕΙΣ!$I$2:$I$399,0)),""))</f>
        <v/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9.95" customHeight="1" x14ac:dyDescent="0.3">
      <c r="A16" s="64"/>
      <c r="B16" s="64"/>
      <c r="C16" s="64"/>
      <c r="D16" s="64"/>
      <c r="E16" s="64"/>
      <c r="F16" s="71"/>
      <c r="G16" s="71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9.95" customHeight="1" x14ac:dyDescent="0.3">
      <c r="A17" s="65"/>
      <c r="B17" s="65"/>
      <c r="C17" s="65"/>
      <c r="D17" s="65"/>
      <c r="E17" s="65"/>
      <c r="F17" s="72"/>
      <c r="G17" s="72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9.95" customHeight="1" thickBot="1" x14ac:dyDescent="0.35">
      <c r="A18" s="67"/>
      <c r="B18" s="67"/>
      <c r="C18" s="67"/>
      <c r="D18" s="67"/>
      <c r="E18" s="67"/>
      <c r="F18" s="73"/>
      <c r="G18" s="73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8" customHeight="1" x14ac:dyDescent="0.3">
      <c r="A19" s="62">
        <f>IF(MONTH($L$7+21)=$L$5,$L$7+21,"")</f>
        <v>46342</v>
      </c>
      <c r="B19" s="62">
        <f>IF(MONTH($L$7+22)=$L$5,$L$7+22,"")</f>
        <v>46343</v>
      </c>
      <c r="C19" s="62">
        <f>IF(MONTH($L$7+23)=$L$5,$L$7+23,"")</f>
        <v>46344</v>
      </c>
      <c r="D19" s="62">
        <f>IF(MONTH($L$7+24)=$L$5,$L$7+24,"")</f>
        <v>46345</v>
      </c>
      <c r="E19" s="62">
        <f>IF(MONTH($L$7+25)=$L$5,$L$7+25,"")</f>
        <v>46346</v>
      </c>
      <c r="F19" s="62">
        <f>IF(MONTH($L$7+26)=$L$5,$L$7+26,"")</f>
        <v>46347</v>
      </c>
      <c r="G19" s="62">
        <f>IF(MONTH($L$7+27)=$L$5,$L$7+27,"")</f>
        <v>46348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36" customHeight="1" x14ac:dyDescent="0.3">
      <c r="A20" s="63" t="str">
        <f>IF(A19="","",IFERROR(INDEX(ΔΡΑΣΕΙΣ!$J$2:$J$399,MATCH(A19&amp;"#1",ΔΡΑΣΕΙΣ!$I$2:$I$399,0)),"")&amp;IFERROR(CHAR(10)&amp;INDEX(ΔΡΑΣΕΙΣ!$J$2:$J$399,MATCH(A19&amp;"#2",ΔΡΑΣΕΙΣ!$I$2:$I$399,0)),"")&amp;IFERROR(CHAR(10)&amp;INDEX(ΔΡΑΣΕΙΣ!$J$2:$J$399,MATCH(A19&amp;"#3",ΔΡΑΣΕΙΣ!$I$2:$I$399,0)),""))</f>
        <v/>
      </c>
      <c r="B20" s="63" t="str">
        <f>IF(B19="","",IFERROR(INDEX(ΔΡΑΣΕΙΣ!$J$2:$J$399,MATCH(B19&amp;"#1",ΔΡΑΣΕΙΣ!$I$2:$I$399,0)),"")&amp;IFERROR(CHAR(10)&amp;INDEX(ΔΡΑΣΕΙΣ!$J$2:$J$399,MATCH(B19&amp;"#2",ΔΡΑΣΕΙΣ!$I$2:$I$399,0)),"")&amp;IFERROR(CHAR(10)&amp;INDEX(ΔΡΑΣΕΙΣ!$J$2:$J$399,MATCH(B19&amp;"#3",ΔΡΑΣΕΙΣ!$I$2:$I$399,0)),""))</f>
        <v>Εκδηλώσεις για την επέτειο του Πολυτεχνείου</v>
      </c>
      <c r="C20" s="63" t="str">
        <f>IF(C19="","",IFERROR(INDEX(ΔΡΑΣΕΙΣ!$J$2:$J$399,MATCH(C19&amp;"#1",ΔΡΑΣΕΙΣ!$I$2:$I$399,0)),"")&amp;IFERROR(CHAR(10)&amp;INDEX(ΔΡΑΣΕΙΣ!$J$2:$J$399,MATCH(C19&amp;"#2",ΔΡΑΣΕΙΣ!$I$2:$I$399,0)),"")&amp;IFERROR(CHAR(10)&amp;INDEX(ΔΡΑΣΕΙΣ!$J$2:$J$399,MATCH(C19&amp;"#3",ΔΡΑΣΕΙΣ!$I$2:$I$399,0)),""))</f>
        <v/>
      </c>
      <c r="D20" s="63" t="str">
        <f>IF(D19="","",IFERROR(INDEX(ΔΡΑΣΕΙΣ!$J$2:$J$399,MATCH(D19&amp;"#1",ΔΡΑΣΕΙΣ!$I$2:$I$399,0)),"")&amp;IFERROR(CHAR(10)&amp;INDEX(ΔΡΑΣΕΙΣ!$J$2:$J$399,MATCH(D19&amp;"#2",ΔΡΑΣΕΙΣ!$I$2:$I$399,0)),"")&amp;IFERROR(CHAR(10)&amp;INDEX(ΔΡΑΣΕΙΣ!$J$2:$J$399,MATCH(D19&amp;"#3",ΔΡΑΣΕΙΣ!$I$2:$I$399,0)),""))</f>
        <v/>
      </c>
      <c r="E20" s="63" t="str">
        <f>IF(E19="","",IFERROR(INDEX(ΔΡΑΣΕΙΣ!$J$2:$J$399,MATCH(E19&amp;"#1",ΔΡΑΣΕΙΣ!$I$2:$I$399,0)),"")&amp;IFERROR(CHAR(10)&amp;INDEX(ΔΡΑΣΕΙΣ!$J$2:$J$399,MATCH(E19&amp;"#2",ΔΡΑΣΕΙΣ!$I$2:$I$399,0)),"")&amp;IFERROR(CHAR(10)&amp;INDEX(ΔΡΑΣΕΙΣ!$J$2:$J$399,MATCH(E19&amp;"#3",ΔΡΑΣΕΙΣ!$I$2:$I$399,0)),""))</f>
        <v/>
      </c>
      <c r="F20" s="63" t="str">
        <f>IF(F19="","",IFERROR(INDEX(ΔΡΑΣΕΙΣ!$J$2:$J$399,MATCH(F19&amp;"#1",ΔΡΑΣΕΙΣ!$I$2:$I$399,0)),"")&amp;IFERROR(CHAR(10)&amp;INDEX(ΔΡΑΣΕΙΣ!$J$2:$J$399,MATCH(F19&amp;"#2",ΔΡΑΣΕΙΣ!$I$2:$I$399,0)),"")&amp;IFERROR(CHAR(10)&amp;INDEX(ΔΡΑΣΕΙΣ!$J$2:$J$399,MATCH(F19&amp;"#3",ΔΡΑΣΕΙΣ!$I$2:$I$399,0)),""))</f>
        <v/>
      </c>
      <c r="G20" s="63" t="str">
        <f>IF(G19="","",IFERROR(INDEX(ΔΡΑΣΕΙΣ!$J$2:$J$399,MATCH(G19&amp;"#1",ΔΡΑΣΕΙΣ!$I$2:$I$399,0)),"")&amp;IFERROR(CHAR(10)&amp;INDEX(ΔΡΑΣΕΙΣ!$J$2:$J$399,MATCH(G19&amp;"#2",ΔΡΑΣΕΙΣ!$I$2:$I$399,0)),"")&amp;IFERROR(CHAR(10)&amp;INDEX(ΔΡΑΣΕΙΣ!$J$2:$J$399,MATCH(G19&amp;"#3",ΔΡΑΣΕΙΣ!$I$2:$I$399,0)),""))</f>
        <v/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9.95" customHeight="1" x14ac:dyDescent="0.3">
      <c r="A21" s="64"/>
      <c r="B21" s="64"/>
      <c r="C21" s="64"/>
      <c r="D21" s="64"/>
      <c r="E21" s="64"/>
      <c r="F21" s="71"/>
      <c r="G21" s="71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9.95" customHeight="1" x14ac:dyDescent="0.3">
      <c r="A22" s="65"/>
      <c r="B22" s="65"/>
      <c r="C22" s="65"/>
      <c r="D22" s="65"/>
      <c r="E22" s="65"/>
      <c r="F22" s="72"/>
      <c r="G22" s="72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9.95" customHeight="1" thickBot="1" x14ac:dyDescent="0.35">
      <c r="A23" s="67"/>
      <c r="B23" s="67"/>
      <c r="C23" s="67"/>
      <c r="D23" s="67"/>
      <c r="E23" s="67"/>
      <c r="F23" s="73"/>
      <c r="G23" s="73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8" customHeight="1" x14ac:dyDescent="0.3">
      <c r="A24" s="62">
        <f>IF(MONTH($L$7+28)=$L$5,$L$7+28,"")</f>
        <v>46349</v>
      </c>
      <c r="B24" s="62">
        <f>IF(MONTH($L$7+29)=$L$5,$L$7+29,"")</f>
        <v>46350</v>
      </c>
      <c r="C24" s="62">
        <f>IF(MONTH($L$7+30)=$L$5,$L$7+30,"")</f>
        <v>46351</v>
      </c>
      <c r="D24" s="62">
        <f>IF(MONTH($L$7+31)=$L$5,$L$7+31,"")</f>
        <v>46352</v>
      </c>
      <c r="E24" s="62">
        <f>IF(MONTH($L$7+32)=$L$5,$L$7+32,"")</f>
        <v>46353</v>
      </c>
      <c r="F24" s="62">
        <f>IF(MONTH($L$7+33)=$L$5,$L$7+33,"")</f>
        <v>46354</v>
      </c>
      <c r="G24" s="62">
        <f>IF(MONTH($L$7+34)=$L$5,$L$7+34,"")</f>
        <v>46355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36" customHeight="1" x14ac:dyDescent="0.3">
      <c r="A25" s="63" t="str">
        <f>IF(A24="","",IFERROR(INDEX(ΔΡΑΣΕΙΣ!$J$2:$J$399,MATCH(A24&amp;"#1",ΔΡΑΣΕΙΣ!$I$2:$I$399,0)),"")&amp;IFERROR(CHAR(10)&amp;INDEX(ΔΡΑΣΕΙΣ!$J$2:$J$399,MATCH(A24&amp;"#2",ΔΡΑΣΕΙΣ!$I$2:$I$399,0)),"")&amp;IFERROR(CHAR(10)&amp;INDEX(ΔΡΑΣΕΙΣ!$J$2:$J$399,MATCH(A24&amp;"#3",ΔΡΑΣΕΙΣ!$I$2:$I$399,0)),""))</f>
        <v/>
      </c>
      <c r="B25" s="63" t="str">
        <f>IF(B24="","",IFERROR(INDEX(ΔΡΑΣΕΙΣ!$J$2:$J$399,MATCH(B24&amp;"#1",ΔΡΑΣΕΙΣ!$I$2:$I$399,0)),"")&amp;IFERROR(CHAR(10)&amp;INDEX(ΔΡΑΣΕΙΣ!$J$2:$J$399,MATCH(B24&amp;"#2",ΔΡΑΣΕΙΣ!$I$2:$I$399,0)),"")&amp;IFERROR(CHAR(10)&amp;INDEX(ΔΡΑΣΕΙΣ!$J$2:$J$399,MATCH(B24&amp;"#3",ΔΡΑΣΕΙΣ!$I$2:$I$399,0)),""))</f>
        <v/>
      </c>
      <c r="C25" s="63" t="str">
        <f>IF(C24="","",IFERROR(INDEX(ΔΡΑΣΕΙΣ!$J$2:$J$399,MATCH(C24&amp;"#1",ΔΡΑΣΕΙΣ!$I$2:$I$399,0)),"")&amp;IFERROR(CHAR(10)&amp;INDEX(ΔΡΑΣΕΙΣ!$J$2:$J$399,MATCH(C24&amp;"#2",ΔΡΑΣΕΙΣ!$I$2:$I$399,0)),"")&amp;IFERROR(CHAR(10)&amp;INDEX(ΔΡΑΣΕΙΣ!$J$2:$J$399,MATCH(C24&amp;"#3",ΔΡΑΣΕΙΣ!$I$2:$I$399,0)),""))</f>
        <v/>
      </c>
      <c r="D25" s="63" t="str">
        <f>IF(D24="","",IFERROR(INDEX(ΔΡΑΣΕΙΣ!$J$2:$J$399,MATCH(D24&amp;"#1",ΔΡΑΣΕΙΣ!$I$2:$I$399,0)),"")&amp;IFERROR(CHAR(10)&amp;INDEX(ΔΡΑΣΕΙΣ!$J$2:$J$399,MATCH(D24&amp;"#2",ΔΡΑΣΕΙΣ!$I$2:$I$399,0)),"")&amp;IFERROR(CHAR(10)&amp;INDEX(ΔΡΑΣΕΙΣ!$J$2:$J$399,MATCH(D24&amp;"#3",ΔΡΑΣΕΙΣ!$I$2:$I$399,0)),""))</f>
        <v/>
      </c>
      <c r="E25" s="63" t="str">
        <f>IF(E24="","",IFERROR(INDEX(ΔΡΑΣΕΙΣ!$J$2:$J$399,MATCH(E24&amp;"#1",ΔΡΑΣΕΙΣ!$I$2:$I$399,0)),"")&amp;IFERROR(CHAR(10)&amp;INDEX(ΔΡΑΣΕΙΣ!$J$2:$J$399,MATCH(E24&amp;"#2",ΔΡΑΣΕΙΣ!$I$2:$I$399,0)),"")&amp;IFERROR(CHAR(10)&amp;INDEX(ΔΡΑΣΕΙΣ!$J$2:$J$399,MATCH(E24&amp;"#3",ΔΡΑΣΕΙΣ!$I$2:$I$399,0)),""))</f>
        <v/>
      </c>
      <c r="F25" s="63" t="str">
        <f>IF(F24="","",IFERROR(INDEX(ΔΡΑΣΕΙΣ!$J$2:$J$399,MATCH(F24&amp;"#1",ΔΡΑΣΕΙΣ!$I$2:$I$399,0)),"")&amp;IFERROR(CHAR(10)&amp;INDEX(ΔΡΑΣΕΙΣ!$J$2:$J$399,MATCH(F24&amp;"#2",ΔΡΑΣΕΙΣ!$I$2:$I$399,0)),"")&amp;IFERROR(CHAR(10)&amp;INDEX(ΔΡΑΣΕΙΣ!$J$2:$J$399,MATCH(F24&amp;"#3",ΔΡΑΣΕΙΣ!$I$2:$I$399,0)),""))</f>
        <v/>
      </c>
      <c r="G25" s="63" t="str">
        <f>IF(G24="","",IFERROR(INDEX(ΔΡΑΣΕΙΣ!$J$2:$J$399,MATCH(G24&amp;"#1",ΔΡΑΣΕΙΣ!$I$2:$I$399,0)),"")&amp;IFERROR(CHAR(10)&amp;INDEX(ΔΡΑΣΕΙΣ!$J$2:$J$399,MATCH(G24&amp;"#2",ΔΡΑΣΕΙΣ!$I$2:$I$399,0)),"")&amp;IFERROR(CHAR(10)&amp;INDEX(ΔΡΑΣΕΙΣ!$J$2:$J$399,MATCH(G24&amp;"#3",ΔΡΑΣΕΙΣ!$I$2:$I$399,0)),""))</f>
        <v/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9.95" customHeight="1" x14ac:dyDescent="0.3">
      <c r="A26" s="64"/>
      <c r="B26" s="64"/>
      <c r="C26" s="64"/>
      <c r="D26" s="64"/>
      <c r="E26" s="64"/>
      <c r="F26" s="71"/>
      <c r="G26" s="71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9.95" customHeight="1" x14ac:dyDescent="0.3">
      <c r="A27" s="65"/>
      <c r="B27" s="65"/>
      <c r="C27" s="65"/>
      <c r="D27" s="65"/>
      <c r="E27" s="65"/>
      <c r="F27" s="72"/>
      <c r="G27" s="72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9.95" customHeight="1" thickBot="1" x14ac:dyDescent="0.35">
      <c r="A28" s="67"/>
      <c r="B28" s="67"/>
      <c r="C28" s="67"/>
      <c r="D28" s="67"/>
      <c r="E28" s="67"/>
      <c r="F28" s="73"/>
      <c r="G28" s="73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8" customHeight="1" x14ac:dyDescent="0.3">
      <c r="A29" s="62">
        <f>IF(MONTH($L$7+35)=$L$5,$L$7+35,"")</f>
        <v>46356</v>
      </c>
      <c r="B29" s="62" t="str">
        <f>IF(MONTH($L$7+36)=$L$5,$L$7+36,"")</f>
        <v/>
      </c>
      <c r="C29" s="62" t="str">
        <f>IF(MONTH($L$7+37)=$L$5,$L$7+37,"")</f>
        <v/>
      </c>
      <c r="D29" s="62" t="str">
        <f>IF(MONTH($L$7+38)=$L$5,$L$7+38,"")</f>
        <v/>
      </c>
      <c r="E29" s="62" t="str">
        <f>IF(MONTH($L$7+39)=$L$5,$L$7+39,"")</f>
        <v/>
      </c>
      <c r="F29" s="62" t="str">
        <f>IF(MONTH($L$7+40)=$L$5,$L$7+40,"")</f>
        <v/>
      </c>
      <c r="G29" s="62" t="str">
        <f>IF(MONTH($L$7+41)=$L$5,$L$7+41,"")</f>
        <v/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36" customHeight="1" x14ac:dyDescent="0.3">
      <c r="A30" s="63" t="str">
        <f>IF(A29="","",IFERROR(INDEX(ΔΡΑΣΕΙΣ!$J$2:$J$399,MATCH(A29&amp;"#1",ΔΡΑΣΕΙΣ!$I$2:$I$399,0)),"")&amp;IFERROR(CHAR(10)&amp;INDEX(ΔΡΑΣΕΙΣ!$J$2:$J$399,MATCH(A29&amp;"#2",ΔΡΑΣΕΙΣ!$I$2:$I$399,0)),"")&amp;IFERROR(CHAR(10)&amp;INDEX(ΔΡΑΣΕΙΣ!$J$2:$J$399,MATCH(A29&amp;"#3",ΔΡΑΣΕΙΣ!$I$2:$I$399,0)),""))</f>
        <v>09:00-12.30  Μουσείο Μακεδονικού Αγώνα</v>
      </c>
      <c r="B30" s="63" t="str">
        <f>IF(B29="","",IFERROR(INDEX(ΔΡΑΣΕΙΣ!$J$2:$J$399,MATCH(B29&amp;"#1",ΔΡΑΣΕΙΣ!$I$2:$I$399,0)),"")&amp;IFERROR(CHAR(10)&amp;INDEX(ΔΡΑΣΕΙΣ!$J$2:$J$399,MATCH(B29&amp;"#2",ΔΡΑΣΕΙΣ!$I$2:$I$399,0)),"")&amp;IFERROR(CHAR(10)&amp;INDEX(ΔΡΑΣΕΙΣ!$J$2:$J$399,MATCH(B29&amp;"#3",ΔΡΑΣΕΙΣ!$I$2:$I$399,0)),""))</f>
        <v/>
      </c>
      <c r="C30" s="63" t="str">
        <f>IF(C29="","",IFERROR(INDEX(ΔΡΑΣΕΙΣ!$J$2:$J$399,MATCH(C29&amp;"#1",ΔΡΑΣΕΙΣ!$I$2:$I$399,0)),"")&amp;IFERROR(CHAR(10)&amp;INDEX(ΔΡΑΣΕΙΣ!$J$2:$J$399,MATCH(C29&amp;"#2",ΔΡΑΣΕΙΣ!$I$2:$I$399,0)),"")&amp;IFERROR(CHAR(10)&amp;INDEX(ΔΡΑΣΕΙΣ!$J$2:$J$399,MATCH(C29&amp;"#3",ΔΡΑΣΕΙΣ!$I$2:$I$399,0)),""))</f>
        <v/>
      </c>
      <c r="D30" s="63" t="str">
        <f>IF(D29="","",IFERROR(INDEX(ΔΡΑΣΕΙΣ!$J$2:$J$399,MATCH(D29&amp;"#1",ΔΡΑΣΕΙΣ!$I$2:$I$399,0)),"")&amp;IFERROR(CHAR(10)&amp;INDEX(ΔΡΑΣΕΙΣ!$J$2:$J$399,MATCH(D29&amp;"#2",ΔΡΑΣΕΙΣ!$I$2:$I$399,0)),"")&amp;IFERROR(CHAR(10)&amp;INDEX(ΔΡΑΣΕΙΣ!$J$2:$J$399,MATCH(D29&amp;"#3",ΔΡΑΣΕΙΣ!$I$2:$I$399,0)),""))</f>
        <v/>
      </c>
      <c r="E30" s="63" t="str">
        <f>IF(E29="","",IFERROR(INDEX(ΔΡΑΣΕΙΣ!$J$2:$J$399,MATCH(E29&amp;"#1",ΔΡΑΣΕΙΣ!$I$2:$I$399,0)),"")&amp;IFERROR(CHAR(10)&amp;INDEX(ΔΡΑΣΕΙΣ!$J$2:$J$399,MATCH(E29&amp;"#2",ΔΡΑΣΕΙΣ!$I$2:$I$399,0)),"")&amp;IFERROR(CHAR(10)&amp;INDEX(ΔΡΑΣΕΙΣ!$J$2:$J$399,MATCH(E29&amp;"#3",ΔΡΑΣΕΙΣ!$I$2:$I$399,0)),""))</f>
        <v/>
      </c>
      <c r="F30" s="63" t="str">
        <f>IF(F29="","",IFERROR(INDEX(ΔΡΑΣΕΙΣ!$J$2:$J$399,MATCH(F29&amp;"#1",ΔΡΑΣΕΙΣ!$I$2:$I$399,0)),"")&amp;IFERROR(CHAR(10)&amp;INDEX(ΔΡΑΣΕΙΣ!$J$2:$J$399,MATCH(F29&amp;"#2",ΔΡΑΣΕΙΣ!$I$2:$I$399,0)),"")&amp;IFERROR(CHAR(10)&amp;INDEX(ΔΡΑΣΕΙΣ!$J$2:$J$399,MATCH(F29&amp;"#3",ΔΡΑΣΕΙΣ!$I$2:$I$399,0)),""))</f>
        <v/>
      </c>
      <c r="G30" s="63" t="str">
        <f>IF(G29="","",IFERROR(INDEX(ΔΡΑΣΕΙΣ!$J$2:$J$399,MATCH(G29&amp;"#1",ΔΡΑΣΕΙΣ!$I$2:$I$399,0)),"")&amp;IFERROR(CHAR(10)&amp;INDEX(ΔΡΑΣΕΙΣ!$J$2:$J$399,MATCH(G29&amp;"#2",ΔΡΑΣΕΙΣ!$I$2:$I$399,0)),"")&amp;IFERROR(CHAR(10)&amp;INDEX(ΔΡΑΣΕΙΣ!$J$2:$J$399,MATCH(G29&amp;"#3",ΔΡΑΣΕΙΣ!$I$2:$I$399,0)),""))</f>
        <v/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9.95" customHeight="1" x14ac:dyDescent="0.3">
      <c r="A31" s="64"/>
      <c r="B31" s="64"/>
      <c r="C31" s="64"/>
      <c r="D31" s="64"/>
      <c r="E31" s="64"/>
      <c r="F31" s="71"/>
      <c r="G31" s="71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9.95" customHeight="1" x14ac:dyDescent="0.3">
      <c r="A32" s="65"/>
      <c r="B32" s="65"/>
      <c r="C32" s="65"/>
      <c r="D32" s="65"/>
      <c r="E32" s="65"/>
      <c r="F32" s="72"/>
      <c r="G32" s="72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9.95" customHeight="1" thickBot="1" x14ac:dyDescent="0.35">
      <c r="A33" s="66"/>
      <c r="B33" s="66"/>
      <c r="C33" s="66"/>
      <c r="D33" s="66"/>
      <c r="E33" s="66"/>
      <c r="F33" s="74"/>
      <c r="G33" s="74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7.95" customHeight="1" x14ac:dyDescent="0.3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3.95" customHeight="1" thickBot="1" x14ac:dyDescent="0.35">
      <c r="A35" s="60" t="s">
        <v>67</v>
      </c>
      <c r="B35" s="57"/>
      <c r="C35" s="57"/>
      <c r="D35" s="57"/>
      <c r="E35" s="60" t="s">
        <v>136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8" customHeight="1" thickBot="1" x14ac:dyDescent="0.35">
      <c r="A36" s="75" t="str">
        <f>ΚΑΤΗΓΟΡΙΕΣ!$A$2</f>
        <v>Αργία / Διακοπές</v>
      </c>
      <c r="B36" s="76" t="str">
        <f>ΚΑΤΗΓΟΡΙΕΣ!$A$3</f>
        <v>Εορτή / Εκκλησιασμός</v>
      </c>
      <c r="C36" s="77" t="str">
        <f>ΚΑΤΗΓΟΡΙΕΣ!$A$4</f>
        <v>Εκδρομή / Επίσκεψη / Περίπατος</v>
      </c>
      <c r="D36" s="81" t="str">
        <f>ΚΑΤΗΓΟΡΙΕΣ!$A$5</f>
        <v>Σύλλογος διδασκόντων</v>
      </c>
      <c r="E36" s="83"/>
      <c r="F36" s="84"/>
      <c r="G36" s="85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8" customHeight="1" thickBot="1" x14ac:dyDescent="0.35">
      <c r="A37" s="78" t="str">
        <f>ΚΑΤΗΓΟΡΙΕΣ!$A$6</f>
        <v>Ενημέρωση γονέων / Έλεγχοι</v>
      </c>
      <c r="B37" s="79" t="str">
        <f>ΚΑΤΗΓΟΡΙΕΣ!$A$7</f>
        <v>Ορόσημο / Εξετάσεις</v>
      </c>
      <c r="C37" s="80" t="str">
        <f>ΚΑΤΗΓΟΡΙΕΣ!$A$8</f>
        <v>Επιμόρφωση εκπαιδευτικών</v>
      </c>
      <c r="D37" s="82" t="str">
        <f>ΚΑΤΗΓΟΡΙΕΣ!$A$9</f>
        <v>Δράση / Πρόγραμμα / Όμιλος</v>
      </c>
      <c r="E37" s="86"/>
      <c r="F37" s="87"/>
      <c r="G37" s="88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" customHeight="1" x14ac:dyDescent="0.3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" customHeight="1" x14ac:dyDescent="0.3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" customHeight="1" x14ac:dyDescent="0.3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x14ac:dyDescent="0.3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x14ac:dyDescent="0.3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x14ac:dyDescent="0.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x14ac:dyDescent="0.3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x14ac:dyDescent="0.3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x14ac:dyDescent="0.3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x14ac:dyDescent="0.3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x14ac:dyDescent="0.3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x14ac:dyDescent="0.3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x14ac:dyDescent="0.3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x14ac:dyDescent="0.3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x14ac:dyDescent="0.3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x14ac:dyDescent="0.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x14ac:dyDescent="0.3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x14ac:dyDescent="0.3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x14ac:dyDescent="0.3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x14ac:dyDescent="0.3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x14ac:dyDescent="0.3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x14ac:dyDescent="0.3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x14ac:dyDescent="0.3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</sheetData>
  <mergeCells count="2">
    <mergeCell ref="A1:G1"/>
    <mergeCell ref="A2:G2"/>
  </mergeCells>
  <conditionalFormatting sqref="A4:G33">
    <cfRule type="expression" dxfId="1" priority="48">
      <formula>INDEX($A$1:$G$40,4+5*INT((ROW()-4)/5),COLUMN())=""</formula>
    </cfRule>
  </conditionalFormatting>
  <dataValidations count="1">
    <dataValidation type="list" allowBlank="1" showInputMessage="1" showErrorMessage="1" sqref="L2" xr:uid="{B636D5C0-CF2C-467A-B6BC-D854A78311B2}">
      <formula1>$N$2:$N$11</formula1>
    </dataValidation>
  </dataValidations>
  <printOptions horizontalCentered="1" verticalCentered="1"/>
  <pageMargins left="0.30555555555555558" right="0.30555555555555558" top="0.30555555555555558" bottom="0.30555555555555558" header="0.1388888888888889" footer="0.1388888888888889"/>
  <pageSetup paperSize="8" scale="87" orientation="landscape" horizontalDpi="300" verticalDpi="300" r:id="rId1"/>
  <headerFooter>
    <oddFooter>&amp;L3ο ΓΥΜΝΑΣΙΟ ΠΟΛΙΧΝΗΣ&amp;R&amp;D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B3EF608C-E088-471A-A03D-4F1AAC7878B1}">
            <xm:f>AND(MOD(ROW()-4,5)&lt;2,IFERROR(INDEX(ΔΡΑΣΕΙΣ!$D$2:$D$399,MATCH(INDEX($A$1:$G$40,4+5*INT((ROW()-4)/5),COLUMN())&amp;"#1",ΔΡΑΣΕΙΣ!$I$2:$I$399,0)),"")="Αργία / Διακοπές")</xm:f>
            <x14:dxf>
              <fill>
                <patternFill patternType="solid">
                  <fgColor indexed="64"/>
                  <bgColor rgb="FFF4B6B6"/>
                </patternFill>
              </fill>
            </x14:dxf>
          </x14:cfRule>
          <x14:cfRule type="expression" priority="41" id="{C988E767-8D68-4263-8E7C-48CDEF0F61FA}">
            <xm:f>AND(MOD(ROW()-4,5)&lt;2,IFERROR(INDEX(ΔΡΑΣΕΙΣ!$D$2:$D$399,MATCH(INDEX($A$1:$G$40,4+5*INT((ROW()-4)/5),COLUMN())&amp;"#1",ΔΡΑΣΕΙΣ!$I$2:$I$399,0)),"")="Εορτή / Εκκλησιασμός")</xm:f>
            <x14:dxf>
              <fill>
                <patternFill patternType="solid">
                  <fgColor indexed="64"/>
                  <bgColor rgb="FFFFE08A"/>
                </patternFill>
              </fill>
            </x14:dxf>
          </x14:cfRule>
          <x14:cfRule type="expression" priority="42" id="{4B5095F0-BDBC-40B9-A1E4-3D37412393A3}">
            <xm:f>AND(MOD(ROW()-4,5)&lt;2,IFERROR(INDEX(ΔΡΑΣΕΙΣ!$D$2:$D$399,MATCH(INDEX($A$1:$G$40,4+5*INT((ROW()-4)/5),COLUMN())&amp;"#1",ΔΡΑΣΕΙΣ!$I$2:$I$399,0)),"")="Εκδρομή / Επίσκεψη / Περίπατος")</xm:f>
            <x14:dxf>
              <fill>
                <patternFill patternType="solid">
                  <fgColor indexed="64"/>
                  <bgColor rgb="FFB7DE9C"/>
                </patternFill>
              </fill>
            </x14:dxf>
          </x14:cfRule>
          <x14:cfRule type="expression" priority="43" id="{AECF0E27-2D69-465C-90ED-E3DED4919BA0}">
            <xm:f>AND(MOD(ROW()-4,5)&lt;2,IFERROR(INDEX(ΔΡΑΣΕΙΣ!$D$2:$D$399,MATCH(INDEX($A$1:$G$40,4+5*INT((ROW()-4)/5),COLUMN())&amp;"#1",ΔΡΑΣΕΙΣ!$I$2:$I$399,0)),"")="Σύλλογος διδασκόντων")</xm:f>
            <x14:dxf>
              <fill>
                <patternFill patternType="solid">
                  <fgColor indexed="64"/>
                  <bgColor rgb="FFD0CECE"/>
                </patternFill>
              </fill>
            </x14:dxf>
          </x14:cfRule>
          <x14:cfRule type="expression" priority="44" id="{7D09B08E-1FEB-439D-81F9-55F8F11993C2}">
            <xm:f>AND(MOD(ROW()-4,5)&lt;2,IFERROR(INDEX(ΔΡΑΣΕΙΣ!$D$2:$D$399,MATCH(INDEX($A$1:$G$40,4+5*INT((ROW()-4)/5),COLUMN())&amp;"#1",ΔΡΑΣΕΙΣ!$I$2:$I$399,0)),"")="Ενημέρωση γονέων / Έλεγχοι")</xm:f>
            <x14:dxf>
              <fill>
                <patternFill patternType="solid">
                  <fgColor indexed="64"/>
                  <bgColor rgb="FFF9C08A"/>
                </patternFill>
              </fill>
            </x14:dxf>
          </x14:cfRule>
          <x14:cfRule type="expression" priority="45" id="{450C170E-AD0C-4D77-B6F9-CCB55D1C5AE2}">
            <xm:f>AND(MOD(ROW()-4,5)&lt;2,IFERROR(INDEX(ΔΡΑΣΕΙΣ!$D$2:$D$399,MATCH(INDEX($A$1:$G$40,4+5*INT((ROW()-4)/5),COLUMN())&amp;"#1",ΔΡΑΣΕΙΣ!$I$2:$I$399,0)),"")="Ορόσημο / Εξετάσεις")</xm:f>
            <x14:dxf>
              <fill>
                <patternFill patternType="solid">
                  <fgColor indexed="64"/>
                  <bgColor rgb="FFA9CDEB"/>
                </patternFill>
              </fill>
            </x14:dxf>
          </x14:cfRule>
          <x14:cfRule type="expression" priority="46" id="{14C7C226-D7F4-4EF2-85F7-55F6ABD09DDD}">
            <xm:f>AND(MOD(ROW()-4,5)&lt;2,IFERROR(INDEX(ΔΡΑΣΕΙΣ!$D$2:$D$399,MATCH(INDEX($A$1:$G$40,4+5*INT((ROW()-4)/5),COLUMN())&amp;"#1",ΔΡΑΣΕΙΣ!$I$2:$I$399,0)),"")="Επιμόρφωση εκπαιδευτικών")</xm:f>
            <x14:dxf>
              <fill>
                <patternFill patternType="solid">
                  <fgColor indexed="64"/>
                  <bgColor rgb="FF9FD8CE"/>
                </patternFill>
              </fill>
            </x14:dxf>
          </x14:cfRule>
          <x14:cfRule type="expression" priority="47" id="{8B64F24B-C07F-4B38-8884-DF72FDD4D37A}">
            <xm:f>AND(MOD(ROW()-4,5)&lt;2,IFERROR(INDEX(ΔΡΑΣΕΙΣ!$D$2:$D$399,MATCH(INDEX($A$1:$G$40,4+5*INT((ROW()-4)/5),COLUMN())&amp;"#1",ΔΡΑΣΕΙΣ!$I$2:$I$399,0)),"")="Δράση / Πρόγραμμα / Όμιλος")</xm:f>
            <x14:dxf>
              <fill>
                <patternFill patternType="solid">
                  <fgColor indexed="64"/>
                  <bgColor rgb="FFC4B5DC"/>
                </patternFill>
              </fill>
            </x14:dxf>
          </x14:cfRule>
          <xm:sqref>A4:G33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4995-AB9B-4AD7-9331-7E6E9854CA91}">
  <sheetPr>
    <pageSetUpPr fitToPage="1"/>
  </sheetPr>
  <dimension ref="A1:K44"/>
  <sheetViews>
    <sheetView showGridLines="0" zoomScaleNormal="100" workbookViewId="0">
      <selection activeCell="L5" sqref="L5"/>
    </sheetView>
  </sheetViews>
  <sheetFormatPr defaultColWidth="8.6640625" defaultRowHeight="14.4" x14ac:dyDescent="0.3"/>
  <cols>
    <col min="1" max="1" width="7.44140625" customWidth="1"/>
    <col min="2" max="2" width="8" customWidth="1"/>
    <col min="3" max="3" width="16" customWidth="1"/>
    <col min="4" max="4" width="46" customWidth="1"/>
  </cols>
  <sheetData>
    <row r="1" spans="1:11" ht="30" customHeight="1" x14ac:dyDescent="0.3">
      <c r="A1" s="96" t="s">
        <v>0</v>
      </c>
      <c r="B1" s="94"/>
      <c r="C1" s="94"/>
      <c r="D1" s="94"/>
      <c r="F1" s="36" t="s">
        <v>89</v>
      </c>
      <c r="G1" s="34"/>
      <c r="I1" t="s">
        <v>68</v>
      </c>
      <c r="J1" t="s">
        <v>69</v>
      </c>
      <c r="K1" t="s">
        <v>70</v>
      </c>
    </row>
    <row r="2" spans="1:11" ht="24" customHeight="1" x14ac:dyDescent="0.3">
      <c r="A2" s="97" t="str">
        <f>$G$2&amp;" "&amp;$G$6</f>
        <v>ΝΟΕΜΒΡΙΟΣ 2026</v>
      </c>
      <c r="B2" s="95"/>
      <c r="C2" s="95"/>
      <c r="D2" s="95"/>
      <c r="F2" s="34" t="s">
        <v>90</v>
      </c>
      <c r="G2" s="39" t="s">
        <v>73</v>
      </c>
      <c r="I2" t="s">
        <v>71</v>
      </c>
      <c r="J2">
        <v>9</v>
      </c>
      <c r="K2">
        <v>0</v>
      </c>
    </row>
    <row r="3" spans="1:11" ht="19.5" customHeight="1" x14ac:dyDescent="0.3">
      <c r="A3" s="24" t="s">
        <v>42</v>
      </c>
      <c r="B3" s="24" t="s">
        <v>65</v>
      </c>
      <c r="C3" s="24" t="s">
        <v>33</v>
      </c>
      <c r="D3" s="24" t="s">
        <v>66</v>
      </c>
      <c r="F3" s="34"/>
      <c r="G3" s="34"/>
      <c r="I3" t="s">
        <v>72</v>
      </c>
      <c r="J3">
        <v>10</v>
      </c>
      <c r="K3">
        <v>0</v>
      </c>
    </row>
    <row r="4" spans="1:11" x14ac:dyDescent="0.3">
      <c r="A4" s="25" t="str">
        <f t="shared" ref="A4:A34" si="0">IF($B4="","",CHOOSE(WEEKDAY($B4,2),"Δευ","Τρί","Τετ","Πέμ","Παρ","Σάβ","Κυρ"))</f>
        <v>Κυρ</v>
      </c>
      <c r="B4" s="26">
        <f t="shared" ref="B4:B34" si="1">IFERROR(IF(MONTH(DATE($G$6,$G$5,ROW()-3))=$G$5,DATE($G$6,$G$5,ROW()-3),""),"")</f>
        <v>46327</v>
      </c>
      <c r="C4" s="27" t="str">
        <f>IFERROR(INDEX(ΔΡΑΣΕΙΣ!$D$2:$D$399,MATCH($B4&amp;"#1",ΔΡΑΣΕΙΣ!$I$2:$I$399,0)),"")</f>
        <v/>
      </c>
      <c r="D4" s="28" t="str">
        <f>IF($B4="","",IFERROR(INDEX(ΔΡΑΣΕΙΣ!$J$2:$J$399,MATCH($B4&amp;"#1",ΔΡΑΣΕΙΣ!$I$2:$I$399,0)),"")&amp;IFERROR(CHAR(10)&amp;INDEX(ΔΡΑΣΕΙΣ!$J$2:$J$399,MATCH($B4&amp;"#2",ΔΡΑΣΕΙΣ!$I$2:$I$399,0)),"")&amp;IFERROR(CHAR(10)&amp;INDEX(ΔΡΑΣΕΙΣ!$J$2:$J$399,MATCH($B4&amp;"#3",ΔΡΑΣΕΙΣ!$I$2:$I$399,0)),""))</f>
        <v/>
      </c>
      <c r="F4" s="34"/>
      <c r="G4" s="34"/>
      <c r="I4" t="s">
        <v>73</v>
      </c>
      <c r="J4">
        <v>11</v>
      </c>
      <c r="K4">
        <v>0</v>
      </c>
    </row>
    <row r="5" spans="1:11" x14ac:dyDescent="0.3">
      <c r="A5" s="25" t="str">
        <f t="shared" si="0"/>
        <v>Δευ</v>
      </c>
      <c r="B5" s="26">
        <f t="shared" si="1"/>
        <v>46328</v>
      </c>
      <c r="C5" s="27" t="str">
        <f>IFERROR(INDEX(ΔΡΑΣΕΙΣ!$D$2:$D$399,MATCH($B5&amp;"#1",ΔΡΑΣΕΙΣ!$I$2:$I$399,0)),"")</f>
        <v/>
      </c>
      <c r="D5" s="28" t="str">
        <f>IF($B5="","",IFERROR(INDEX(ΔΡΑΣΕΙΣ!$J$2:$J$399,MATCH($B5&amp;"#1",ΔΡΑΣΕΙΣ!$I$2:$I$399,0)),"")&amp;IFERROR(CHAR(10)&amp;INDEX(ΔΡΑΣΕΙΣ!$J$2:$J$399,MATCH($B5&amp;"#2",ΔΡΑΣΕΙΣ!$I$2:$I$399,0)),"")&amp;IFERROR(CHAR(10)&amp;INDEX(ΔΡΑΣΕΙΣ!$J$2:$J$399,MATCH($B5&amp;"#3",ΔΡΑΣΕΙΣ!$I$2:$I$399,0)),""))</f>
        <v/>
      </c>
      <c r="F5" s="34" t="s">
        <v>84</v>
      </c>
      <c r="G5" s="34">
        <f>INDEX($J$2:$J$11,MATCH($G$2,$I$2:$I$11,0))</f>
        <v>11</v>
      </c>
      <c r="I5" t="s">
        <v>74</v>
      </c>
      <c r="J5">
        <v>12</v>
      </c>
      <c r="K5">
        <v>0</v>
      </c>
    </row>
    <row r="6" spans="1:11" x14ac:dyDescent="0.3">
      <c r="A6" s="25" t="str">
        <f t="shared" si="0"/>
        <v>Τρί</v>
      </c>
      <c r="B6" s="26">
        <f t="shared" si="1"/>
        <v>46329</v>
      </c>
      <c r="C6" s="27" t="str">
        <f>IFERROR(INDEX(ΔΡΑΣΕΙΣ!$D$2:$D$399,MATCH($B6&amp;"#1",ΔΡΑΣΕΙΣ!$I$2:$I$399,0)),"")</f>
        <v/>
      </c>
      <c r="D6" s="28" t="str">
        <f>IF($B6="","",IFERROR(INDEX(ΔΡΑΣΕΙΣ!$J$2:$J$399,MATCH($B6&amp;"#1",ΔΡΑΣΕΙΣ!$I$2:$I$399,0)),"")&amp;IFERROR(CHAR(10)&amp;INDEX(ΔΡΑΣΕΙΣ!$J$2:$J$399,MATCH($B6&amp;"#2",ΔΡΑΣΕΙΣ!$I$2:$I$399,0)),"")&amp;IFERROR(CHAR(10)&amp;INDEX(ΔΡΑΣΕΙΣ!$J$2:$J$399,MATCH($B6&amp;"#3",ΔΡΑΣΕΙΣ!$I$2:$I$399,0)),""))</f>
        <v/>
      </c>
      <c r="F6" s="34" t="s">
        <v>85</v>
      </c>
      <c r="G6" s="34">
        <f>ΟΔΗΓΙΕΣ!$B$3+INDEX($K$2:$K$11,MATCH($G$2,$I$2:$I$11,0))</f>
        <v>2026</v>
      </c>
      <c r="I6" t="s">
        <v>75</v>
      </c>
      <c r="J6">
        <v>1</v>
      </c>
      <c r="K6">
        <v>1</v>
      </c>
    </row>
    <row r="7" spans="1:11" ht="26.4" x14ac:dyDescent="0.3">
      <c r="A7" s="25" t="str">
        <f t="shared" si="0"/>
        <v>Τετ</v>
      </c>
      <c r="B7" s="26">
        <f t="shared" si="1"/>
        <v>46330</v>
      </c>
      <c r="C7" s="27" t="str">
        <f>IFERROR(INDEX(ΔΡΑΣΕΙΣ!$D$2:$D$399,MATCH($B7&amp;"#1",ΔΡΑΣΕΙΣ!$I$2:$I$399,0)),"")</f>
        <v>Δράση / Πρόγραμμα / Όμιλος</v>
      </c>
      <c r="D7" s="28" t="str">
        <f>IF($B7="","",IFERROR(INDEX(ΔΡΑΣΕΙΣ!$J$2:$J$399,MATCH($B7&amp;"#1",ΔΡΑΣΕΙΣ!$I$2:$I$399,0)),"")&amp;IFERROR(CHAR(10)&amp;INDEX(ΔΡΑΣΕΙΣ!$J$2:$J$399,MATCH($B7&amp;"#2",ΔΡΑΣΕΙΣ!$I$2:$I$399,0)),"")&amp;IFERROR(CHAR(10)&amp;INDEX(ΔΡΑΣΕΙΣ!$J$2:$J$399,MATCH($B7&amp;"#3",ΔΡΑΣΕΙΣ!$I$2:$I$399,0)),""))</f>
        <v>08:45-11:15  Διαδικτυακή εκπαίδευση «Kids Save Lives»</v>
      </c>
      <c r="F7" s="34"/>
      <c r="G7" s="34"/>
      <c r="I7" t="s">
        <v>76</v>
      </c>
      <c r="J7">
        <v>2</v>
      </c>
      <c r="K7">
        <v>1</v>
      </c>
    </row>
    <row r="8" spans="1:11" x14ac:dyDescent="0.3">
      <c r="A8" s="25" t="str">
        <f t="shared" si="0"/>
        <v>Πέμ</v>
      </c>
      <c r="B8" s="26">
        <f t="shared" si="1"/>
        <v>46331</v>
      </c>
      <c r="C8" s="27" t="str">
        <f>IFERROR(INDEX(ΔΡΑΣΕΙΣ!$D$2:$D$399,MATCH($B8&amp;"#1",ΔΡΑΣΕΙΣ!$I$2:$I$399,0)),"")</f>
        <v/>
      </c>
      <c r="D8" s="28" t="str">
        <f>IF($B8="","",IFERROR(INDEX(ΔΡΑΣΕΙΣ!$J$2:$J$399,MATCH($B8&amp;"#1",ΔΡΑΣΕΙΣ!$I$2:$I$399,0)),"")&amp;IFERROR(CHAR(10)&amp;INDEX(ΔΡΑΣΕΙΣ!$J$2:$J$399,MATCH($B8&amp;"#2",ΔΡΑΣΕΙΣ!$I$2:$I$399,0)),"")&amp;IFERROR(CHAR(10)&amp;INDEX(ΔΡΑΣΕΙΣ!$J$2:$J$399,MATCH($B8&amp;"#3",ΔΡΑΣΕΙΣ!$I$2:$I$399,0)),""))</f>
        <v/>
      </c>
      <c r="F8" s="34"/>
      <c r="G8" s="34"/>
      <c r="I8" t="s">
        <v>77</v>
      </c>
      <c r="J8">
        <v>3</v>
      </c>
      <c r="K8">
        <v>1</v>
      </c>
    </row>
    <row r="9" spans="1:11" x14ac:dyDescent="0.3">
      <c r="A9" s="25" t="str">
        <f t="shared" si="0"/>
        <v>Παρ</v>
      </c>
      <c r="B9" s="26">
        <f t="shared" si="1"/>
        <v>46332</v>
      </c>
      <c r="C9" s="27" t="str">
        <f>IFERROR(INDEX(ΔΡΑΣΕΙΣ!$D$2:$D$399,MATCH($B9&amp;"#1",ΔΡΑΣΕΙΣ!$I$2:$I$399,0)),"")</f>
        <v/>
      </c>
      <c r="D9" s="28" t="str">
        <f>IF($B9="","",IFERROR(INDEX(ΔΡΑΣΕΙΣ!$J$2:$J$399,MATCH($B9&amp;"#1",ΔΡΑΣΕΙΣ!$I$2:$I$399,0)),"")&amp;IFERROR(CHAR(10)&amp;INDEX(ΔΡΑΣΕΙΣ!$J$2:$J$399,MATCH($B9&amp;"#2",ΔΡΑΣΕΙΣ!$I$2:$I$399,0)),"")&amp;IFERROR(CHAR(10)&amp;INDEX(ΔΡΑΣΕΙΣ!$J$2:$J$399,MATCH($B9&amp;"#3",ΔΡΑΣΕΙΣ!$I$2:$I$399,0)),""))</f>
        <v/>
      </c>
      <c r="I9" t="s">
        <v>78</v>
      </c>
      <c r="J9">
        <v>4</v>
      </c>
      <c r="K9">
        <v>1</v>
      </c>
    </row>
    <row r="10" spans="1:11" x14ac:dyDescent="0.3">
      <c r="A10" s="25" t="str">
        <f t="shared" si="0"/>
        <v>Σάβ</v>
      </c>
      <c r="B10" s="26">
        <f t="shared" si="1"/>
        <v>46333</v>
      </c>
      <c r="C10" s="27" t="str">
        <f>IFERROR(INDEX(ΔΡΑΣΕΙΣ!$D$2:$D$399,MATCH($B10&amp;"#1",ΔΡΑΣΕΙΣ!$I$2:$I$399,0)),"")</f>
        <v/>
      </c>
      <c r="D10" s="28" t="str">
        <f>IF($B10="","",IFERROR(INDEX(ΔΡΑΣΕΙΣ!$J$2:$J$399,MATCH($B10&amp;"#1",ΔΡΑΣΕΙΣ!$I$2:$I$399,0)),"")&amp;IFERROR(CHAR(10)&amp;INDEX(ΔΡΑΣΕΙΣ!$J$2:$J$399,MATCH($B10&amp;"#2",ΔΡΑΣΕΙΣ!$I$2:$I$399,0)),"")&amp;IFERROR(CHAR(10)&amp;INDEX(ΔΡΑΣΕΙΣ!$J$2:$J$399,MATCH($B10&amp;"#3",ΔΡΑΣΕΙΣ!$I$2:$I$399,0)),""))</f>
        <v/>
      </c>
      <c r="I10" t="s">
        <v>79</v>
      </c>
      <c r="J10">
        <v>5</v>
      </c>
      <c r="K10">
        <v>1</v>
      </c>
    </row>
    <row r="11" spans="1:11" x14ac:dyDescent="0.3">
      <c r="A11" s="25" t="str">
        <f t="shared" si="0"/>
        <v>Κυρ</v>
      </c>
      <c r="B11" s="26">
        <f t="shared" si="1"/>
        <v>46334</v>
      </c>
      <c r="C11" s="27" t="str">
        <f>IFERROR(INDEX(ΔΡΑΣΕΙΣ!$D$2:$D$399,MATCH($B11&amp;"#1",ΔΡΑΣΕΙΣ!$I$2:$I$399,0)),"")</f>
        <v/>
      </c>
      <c r="D11" s="28" t="str">
        <f>IF($B11="","",IFERROR(INDEX(ΔΡΑΣΕΙΣ!$J$2:$J$399,MATCH($B11&amp;"#1",ΔΡΑΣΕΙΣ!$I$2:$I$399,0)),"")&amp;IFERROR(CHAR(10)&amp;INDEX(ΔΡΑΣΕΙΣ!$J$2:$J$399,MATCH($B11&amp;"#2",ΔΡΑΣΕΙΣ!$I$2:$I$399,0)),"")&amp;IFERROR(CHAR(10)&amp;INDEX(ΔΡΑΣΕΙΣ!$J$2:$J$399,MATCH($B11&amp;"#3",ΔΡΑΣΕΙΣ!$I$2:$I$399,0)),""))</f>
        <v/>
      </c>
      <c r="I11" t="s">
        <v>80</v>
      </c>
      <c r="J11">
        <v>6</v>
      </c>
      <c r="K11">
        <v>1</v>
      </c>
    </row>
    <row r="12" spans="1:11" x14ac:dyDescent="0.3">
      <c r="A12" s="25" t="str">
        <f t="shared" si="0"/>
        <v>Δευ</v>
      </c>
      <c r="B12" s="26">
        <f t="shared" si="1"/>
        <v>46335</v>
      </c>
      <c r="C12" s="27" t="str">
        <f>IFERROR(INDEX(ΔΡΑΣΕΙΣ!$D$2:$D$399,MATCH($B12&amp;"#1",ΔΡΑΣΕΙΣ!$I$2:$I$399,0)),"")</f>
        <v/>
      </c>
      <c r="D12" s="28" t="str">
        <f>IF($B12="","",IFERROR(INDEX(ΔΡΑΣΕΙΣ!$J$2:$J$399,MATCH($B12&amp;"#1",ΔΡΑΣΕΙΣ!$I$2:$I$399,0)),"")&amp;IFERROR(CHAR(10)&amp;INDEX(ΔΡΑΣΕΙΣ!$J$2:$J$399,MATCH($B12&amp;"#2",ΔΡΑΣΕΙΣ!$I$2:$I$399,0)),"")&amp;IFERROR(CHAR(10)&amp;INDEX(ΔΡΑΣΕΙΣ!$J$2:$J$399,MATCH($B12&amp;"#3",ΔΡΑΣΕΙΣ!$I$2:$I$399,0)),""))</f>
        <v/>
      </c>
    </row>
    <row r="13" spans="1:11" x14ac:dyDescent="0.3">
      <c r="A13" s="25" t="str">
        <f t="shared" si="0"/>
        <v>Τρί</v>
      </c>
      <c r="B13" s="26">
        <f t="shared" si="1"/>
        <v>46336</v>
      </c>
      <c r="C13" s="27" t="str">
        <f>IFERROR(INDEX(ΔΡΑΣΕΙΣ!$D$2:$D$399,MATCH($B13&amp;"#1",ΔΡΑΣΕΙΣ!$I$2:$I$399,0)),"")</f>
        <v/>
      </c>
      <c r="D13" s="28" t="str">
        <f>IF($B13="","",IFERROR(INDEX(ΔΡΑΣΕΙΣ!$J$2:$J$399,MATCH($B13&amp;"#1",ΔΡΑΣΕΙΣ!$I$2:$I$399,0)),"")&amp;IFERROR(CHAR(10)&amp;INDEX(ΔΡΑΣΕΙΣ!$J$2:$J$399,MATCH($B13&amp;"#2",ΔΡΑΣΕΙΣ!$I$2:$I$399,0)),"")&amp;IFERROR(CHAR(10)&amp;INDEX(ΔΡΑΣΕΙΣ!$J$2:$J$399,MATCH($B13&amp;"#3",ΔΡΑΣΕΙΣ!$I$2:$I$399,0)),""))</f>
        <v/>
      </c>
    </row>
    <row r="14" spans="1:11" x14ac:dyDescent="0.3">
      <c r="A14" s="25" t="str">
        <f t="shared" si="0"/>
        <v>Τετ</v>
      </c>
      <c r="B14" s="26">
        <f t="shared" si="1"/>
        <v>46337</v>
      </c>
      <c r="C14" s="27" t="str">
        <f>IFERROR(INDEX(ΔΡΑΣΕΙΣ!$D$2:$D$399,MATCH($B14&amp;"#1",ΔΡΑΣΕΙΣ!$I$2:$I$399,0)),"")</f>
        <v/>
      </c>
      <c r="D14" s="28" t="str">
        <f>IF($B14="","",IFERROR(INDEX(ΔΡΑΣΕΙΣ!$J$2:$J$399,MATCH($B14&amp;"#1",ΔΡΑΣΕΙΣ!$I$2:$I$399,0)),"")&amp;IFERROR(CHAR(10)&amp;INDEX(ΔΡΑΣΕΙΣ!$J$2:$J$399,MATCH($B14&amp;"#2",ΔΡΑΣΕΙΣ!$I$2:$I$399,0)),"")&amp;IFERROR(CHAR(10)&amp;INDEX(ΔΡΑΣΕΙΣ!$J$2:$J$399,MATCH($B14&amp;"#3",ΔΡΑΣΕΙΣ!$I$2:$I$399,0)),""))</f>
        <v/>
      </c>
    </row>
    <row r="15" spans="1:11" x14ac:dyDescent="0.3">
      <c r="A15" s="25" t="str">
        <f t="shared" si="0"/>
        <v>Πέμ</v>
      </c>
      <c r="B15" s="26">
        <f t="shared" si="1"/>
        <v>46338</v>
      </c>
      <c r="C15" s="27" t="str">
        <f>IFERROR(INDEX(ΔΡΑΣΕΙΣ!$D$2:$D$399,MATCH($B15&amp;"#1",ΔΡΑΣΕΙΣ!$I$2:$I$399,0)),"")</f>
        <v/>
      </c>
      <c r="D15" s="28" t="str">
        <f>IF($B15="","",IFERROR(INDEX(ΔΡΑΣΕΙΣ!$J$2:$J$399,MATCH($B15&amp;"#1",ΔΡΑΣΕΙΣ!$I$2:$I$399,0)),"")&amp;IFERROR(CHAR(10)&amp;INDEX(ΔΡΑΣΕΙΣ!$J$2:$J$399,MATCH($B15&amp;"#2",ΔΡΑΣΕΙΣ!$I$2:$I$399,0)),"")&amp;IFERROR(CHAR(10)&amp;INDEX(ΔΡΑΣΕΙΣ!$J$2:$J$399,MATCH($B15&amp;"#3",ΔΡΑΣΕΙΣ!$I$2:$I$399,0)),""))</f>
        <v/>
      </c>
    </row>
    <row r="16" spans="1:11" x14ac:dyDescent="0.3">
      <c r="A16" s="25" t="str">
        <f t="shared" si="0"/>
        <v>Παρ</v>
      </c>
      <c r="B16" s="26">
        <f t="shared" si="1"/>
        <v>46339</v>
      </c>
      <c r="C16" s="27" t="str">
        <f>IFERROR(INDEX(ΔΡΑΣΕΙΣ!$D$2:$D$399,MATCH($B16&amp;"#1",ΔΡΑΣΕΙΣ!$I$2:$I$399,0)),"")</f>
        <v/>
      </c>
      <c r="D16" s="28" t="str">
        <f>IF($B16="","",IFERROR(INDEX(ΔΡΑΣΕΙΣ!$J$2:$J$399,MATCH($B16&amp;"#1",ΔΡΑΣΕΙΣ!$I$2:$I$399,0)),"")&amp;IFERROR(CHAR(10)&amp;INDEX(ΔΡΑΣΕΙΣ!$J$2:$J$399,MATCH($B16&amp;"#2",ΔΡΑΣΕΙΣ!$I$2:$I$399,0)),"")&amp;IFERROR(CHAR(10)&amp;INDEX(ΔΡΑΣΕΙΣ!$J$2:$J$399,MATCH($B16&amp;"#3",ΔΡΑΣΕΙΣ!$I$2:$I$399,0)),""))</f>
        <v/>
      </c>
    </row>
    <row r="17" spans="1:4" x14ac:dyDescent="0.3">
      <c r="A17" s="25" t="str">
        <f t="shared" si="0"/>
        <v>Σάβ</v>
      </c>
      <c r="B17" s="26">
        <f t="shared" si="1"/>
        <v>46340</v>
      </c>
      <c r="C17" s="27" t="str">
        <f>IFERROR(INDEX(ΔΡΑΣΕΙΣ!$D$2:$D$399,MATCH($B17&amp;"#1",ΔΡΑΣΕΙΣ!$I$2:$I$399,0)),"")</f>
        <v/>
      </c>
      <c r="D17" s="28" t="str">
        <f>IF($B17="","",IFERROR(INDEX(ΔΡΑΣΕΙΣ!$J$2:$J$399,MATCH($B17&amp;"#1",ΔΡΑΣΕΙΣ!$I$2:$I$399,0)),"")&amp;IFERROR(CHAR(10)&amp;INDEX(ΔΡΑΣΕΙΣ!$J$2:$J$399,MATCH($B17&amp;"#2",ΔΡΑΣΕΙΣ!$I$2:$I$399,0)),"")&amp;IFERROR(CHAR(10)&amp;INDEX(ΔΡΑΣΕΙΣ!$J$2:$J$399,MATCH($B17&amp;"#3",ΔΡΑΣΕΙΣ!$I$2:$I$399,0)),""))</f>
        <v/>
      </c>
    </row>
    <row r="18" spans="1:4" x14ac:dyDescent="0.3">
      <c r="A18" s="25" t="str">
        <f t="shared" si="0"/>
        <v>Κυρ</v>
      </c>
      <c r="B18" s="26">
        <f t="shared" si="1"/>
        <v>46341</v>
      </c>
      <c r="C18" s="27" t="str">
        <f>IFERROR(INDEX(ΔΡΑΣΕΙΣ!$D$2:$D$399,MATCH($B18&amp;"#1",ΔΡΑΣΕΙΣ!$I$2:$I$399,0)),"")</f>
        <v/>
      </c>
      <c r="D18" s="28" t="str">
        <f>IF($B18="","",IFERROR(INDEX(ΔΡΑΣΕΙΣ!$J$2:$J$399,MATCH($B18&amp;"#1",ΔΡΑΣΕΙΣ!$I$2:$I$399,0)),"")&amp;IFERROR(CHAR(10)&amp;INDEX(ΔΡΑΣΕΙΣ!$J$2:$J$399,MATCH($B18&amp;"#2",ΔΡΑΣΕΙΣ!$I$2:$I$399,0)),"")&amp;IFERROR(CHAR(10)&amp;INDEX(ΔΡΑΣΕΙΣ!$J$2:$J$399,MATCH($B18&amp;"#3",ΔΡΑΣΕΙΣ!$I$2:$I$399,0)),""))</f>
        <v/>
      </c>
    </row>
    <row r="19" spans="1:4" x14ac:dyDescent="0.3">
      <c r="A19" s="25" t="str">
        <f t="shared" si="0"/>
        <v>Δευ</v>
      </c>
      <c r="B19" s="26">
        <f t="shared" si="1"/>
        <v>46342</v>
      </c>
      <c r="C19" s="27" t="str">
        <f>IFERROR(INDEX(ΔΡΑΣΕΙΣ!$D$2:$D$399,MATCH($B19&amp;"#1",ΔΡΑΣΕΙΣ!$I$2:$I$399,0)),"")</f>
        <v/>
      </c>
      <c r="D19" s="28" t="str">
        <f>IF($B19="","",IFERROR(INDEX(ΔΡΑΣΕΙΣ!$J$2:$J$399,MATCH($B19&amp;"#1",ΔΡΑΣΕΙΣ!$I$2:$I$399,0)),"")&amp;IFERROR(CHAR(10)&amp;INDEX(ΔΡΑΣΕΙΣ!$J$2:$J$399,MATCH($B19&amp;"#2",ΔΡΑΣΕΙΣ!$I$2:$I$399,0)),"")&amp;IFERROR(CHAR(10)&amp;INDEX(ΔΡΑΣΕΙΣ!$J$2:$J$399,MATCH($B19&amp;"#3",ΔΡΑΣΕΙΣ!$I$2:$I$399,0)),""))</f>
        <v/>
      </c>
    </row>
    <row r="20" spans="1:4" x14ac:dyDescent="0.3">
      <c r="A20" s="25" t="str">
        <f t="shared" si="0"/>
        <v>Τρί</v>
      </c>
      <c r="B20" s="26">
        <f t="shared" si="1"/>
        <v>46343</v>
      </c>
      <c r="C20" s="27" t="str">
        <f>IFERROR(INDEX(ΔΡΑΣΕΙΣ!$D$2:$D$399,MATCH($B20&amp;"#1",ΔΡΑΣΕΙΣ!$I$2:$I$399,0)),"")</f>
        <v>Εορτή / Εκκλησιασμός</v>
      </c>
      <c r="D20" s="28" t="str">
        <f>IF($B20="","",IFERROR(INDEX(ΔΡΑΣΕΙΣ!$J$2:$J$399,MATCH($B20&amp;"#1",ΔΡΑΣΕΙΣ!$I$2:$I$399,0)),"")&amp;IFERROR(CHAR(10)&amp;INDEX(ΔΡΑΣΕΙΣ!$J$2:$J$399,MATCH($B20&amp;"#2",ΔΡΑΣΕΙΣ!$I$2:$I$399,0)),"")&amp;IFERROR(CHAR(10)&amp;INDEX(ΔΡΑΣΕΙΣ!$J$2:$J$399,MATCH($B20&amp;"#3",ΔΡΑΣΕΙΣ!$I$2:$I$399,0)),""))</f>
        <v>Εκδηλώσεις για την επέτειο του Πολυτεχνείου</v>
      </c>
    </row>
    <row r="21" spans="1:4" x14ac:dyDescent="0.3">
      <c r="A21" s="25" t="str">
        <f t="shared" si="0"/>
        <v>Τετ</v>
      </c>
      <c r="B21" s="26">
        <f t="shared" si="1"/>
        <v>46344</v>
      </c>
      <c r="C21" s="27" t="str">
        <f>IFERROR(INDEX(ΔΡΑΣΕΙΣ!$D$2:$D$399,MATCH($B21&amp;"#1",ΔΡΑΣΕΙΣ!$I$2:$I$399,0)),"")</f>
        <v/>
      </c>
      <c r="D21" s="28" t="str">
        <f>IF($B21="","",IFERROR(INDEX(ΔΡΑΣΕΙΣ!$J$2:$J$399,MATCH($B21&amp;"#1",ΔΡΑΣΕΙΣ!$I$2:$I$399,0)),"")&amp;IFERROR(CHAR(10)&amp;INDEX(ΔΡΑΣΕΙΣ!$J$2:$J$399,MATCH($B21&amp;"#2",ΔΡΑΣΕΙΣ!$I$2:$I$399,0)),"")&amp;IFERROR(CHAR(10)&amp;INDEX(ΔΡΑΣΕΙΣ!$J$2:$J$399,MATCH($B21&amp;"#3",ΔΡΑΣΕΙΣ!$I$2:$I$399,0)),""))</f>
        <v/>
      </c>
    </row>
    <row r="22" spans="1:4" x14ac:dyDescent="0.3">
      <c r="A22" s="25" t="str">
        <f t="shared" si="0"/>
        <v>Πέμ</v>
      </c>
      <c r="B22" s="26">
        <f t="shared" si="1"/>
        <v>46345</v>
      </c>
      <c r="C22" s="27" t="str">
        <f>IFERROR(INDEX(ΔΡΑΣΕΙΣ!$D$2:$D$399,MATCH($B22&amp;"#1",ΔΡΑΣΕΙΣ!$I$2:$I$399,0)),"")</f>
        <v/>
      </c>
      <c r="D22" s="28" t="str">
        <f>IF($B22="","",IFERROR(INDEX(ΔΡΑΣΕΙΣ!$J$2:$J$399,MATCH($B22&amp;"#1",ΔΡΑΣΕΙΣ!$I$2:$I$399,0)),"")&amp;IFERROR(CHAR(10)&amp;INDEX(ΔΡΑΣΕΙΣ!$J$2:$J$399,MATCH($B22&amp;"#2",ΔΡΑΣΕΙΣ!$I$2:$I$399,0)),"")&amp;IFERROR(CHAR(10)&amp;INDEX(ΔΡΑΣΕΙΣ!$J$2:$J$399,MATCH($B22&amp;"#3",ΔΡΑΣΕΙΣ!$I$2:$I$399,0)),""))</f>
        <v/>
      </c>
    </row>
    <row r="23" spans="1:4" x14ac:dyDescent="0.3">
      <c r="A23" s="25" t="str">
        <f t="shared" si="0"/>
        <v>Παρ</v>
      </c>
      <c r="B23" s="26">
        <f t="shared" si="1"/>
        <v>46346</v>
      </c>
      <c r="C23" s="27" t="str">
        <f>IFERROR(INDEX(ΔΡΑΣΕΙΣ!$D$2:$D$399,MATCH($B23&amp;"#1",ΔΡΑΣΕΙΣ!$I$2:$I$399,0)),"")</f>
        <v/>
      </c>
      <c r="D23" s="28" t="str">
        <f>IF($B23="","",IFERROR(INDEX(ΔΡΑΣΕΙΣ!$J$2:$J$399,MATCH($B23&amp;"#1",ΔΡΑΣΕΙΣ!$I$2:$I$399,0)),"")&amp;IFERROR(CHAR(10)&amp;INDEX(ΔΡΑΣΕΙΣ!$J$2:$J$399,MATCH($B23&amp;"#2",ΔΡΑΣΕΙΣ!$I$2:$I$399,0)),"")&amp;IFERROR(CHAR(10)&amp;INDEX(ΔΡΑΣΕΙΣ!$J$2:$J$399,MATCH($B23&amp;"#3",ΔΡΑΣΕΙΣ!$I$2:$I$399,0)),""))</f>
        <v/>
      </c>
    </row>
    <row r="24" spans="1:4" x14ac:dyDescent="0.3">
      <c r="A24" s="25" t="str">
        <f t="shared" si="0"/>
        <v>Σάβ</v>
      </c>
      <c r="B24" s="26">
        <f t="shared" si="1"/>
        <v>46347</v>
      </c>
      <c r="C24" s="27" t="str">
        <f>IFERROR(INDEX(ΔΡΑΣΕΙΣ!$D$2:$D$399,MATCH($B24&amp;"#1",ΔΡΑΣΕΙΣ!$I$2:$I$399,0)),"")</f>
        <v/>
      </c>
      <c r="D24" s="28" t="str">
        <f>IF($B24="","",IFERROR(INDEX(ΔΡΑΣΕΙΣ!$J$2:$J$399,MATCH($B24&amp;"#1",ΔΡΑΣΕΙΣ!$I$2:$I$399,0)),"")&amp;IFERROR(CHAR(10)&amp;INDEX(ΔΡΑΣΕΙΣ!$J$2:$J$399,MATCH($B24&amp;"#2",ΔΡΑΣΕΙΣ!$I$2:$I$399,0)),"")&amp;IFERROR(CHAR(10)&amp;INDEX(ΔΡΑΣΕΙΣ!$J$2:$J$399,MATCH($B24&amp;"#3",ΔΡΑΣΕΙΣ!$I$2:$I$399,0)),""))</f>
        <v/>
      </c>
    </row>
    <row r="25" spans="1:4" x14ac:dyDescent="0.3">
      <c r="A25" s="25" t="str">
        <f t="shared" si="0"/>
        <v>Κυρ</v>
      </c>
      <c r="B25" s="26">
        <f t="shared" si="1"/>
        <v>46348</v>
      </c>
      <c r="C25" s="27" t="str">
        <f>IFERROR(INDEX(ΔΡΑΣΕΙΣ!$D$2:$D$399,MATCH($B25&amp;"#1",ΔΡΑΣΕΙΣ!$I$2:$I$399,0)),"")</f>
        <v/>
      </c>
      <c r="D25" s="28" t="str">
        <f>IF($B25="","",IFERROR(INDEX(ΔΡΑΣΕΙΣ!$J$2:$J$399,MATCH($B25&amp;"#1",ΔΡΑΣΕΙΣ!$I$2:$I$399,0)),"")&amp;IFERROR(CHAR(10)&amp;INDEX(ΔΡΑΣΕΙΣ!$J$2:$J$399,MATCH($B25&amp;"#2",ΔΡΑΣΕΙΣ!$I$2:$I$399,0)),"")&amp;IFERROR(CHAR(10)&amp;INDEX(ΔΡΑΣΕΙΣ!$J$2:$J$399,MATCH($B25&amp;"#3",ΔΡΑΣΕΙΣ!$I$2:$I$399,0)),""))</f>
        <v/>
      </c>
    </row>
    <row r="26" spans="1:4" x14ac:dyDescent="0.3">
      <c r="A26" s="25" t="str">
        <f t="shared" si="0"/>
        <v>Δευ</v>
      </c>
      <c r="B26" s="26">
        <f t="shared" si="1"/>
        <v>46349</v>
      </c>
      <c r="C26" s="27" t="str">
        <f>IFERROR(INDEX(ΔΡΑΣΕΙΣ!$D$2:$D$399,MATCH($B26&amp;"#1",ΔΡΑΣΕΙΣ!$I$2:$I$399,0)),"")</f>
        <v/>
      </c>
      <c r="D26" s="28" t="str">
        <f>IF($B26="","",IFERROR(INDEX(ΔΡΑΣΕΙΣ!$J$2:$J$399,MATCH($B26&amp;"#1",ΔΡΑΣΕΙΣ!$I$2:$I$399,0)),"")&amp;IFERROR(CHAR(10)&amp;INDEX(ΔΡΑΣΕΙΣ!$J$2:$J$399,MATCH($B26&amp;"#2",ΔΡΑΣΕΙΣ!$I$2:$I$399,0)),"")&amp;IFERROR(CHAR(10)&amp;INDEX(ΔΡΑΣΕΙΣ!$J$2:$J$399,MATCH($B26&amp;"#3",ΔΡΑΣΕΙΣ!$I$2:$I$399,0)),""))</f>
        <v/>
      </c>
    </row>
    <row r="27" spans="1:4" x14ac:dyDescent="0.3">
      <c r="A27" s="25" t="str">
        <f t="shared" si="0"/>
        <v>Τρί</v>
      </c>
      <c r="B27" s="26">
        <f t="shared" si="1"/>
        <v>46350</v>
      </c>
      <c r="C27" s="27" t="str">
        <f>IFERROR(INDEX(ΔΡΑΣΕΙΣ!$D$2:$D$399,MATCH($B27&amp;"#1",ΔΡΑΣΕΙΣ!$I$2:$I$399,0)),"")</f>
        <v/>
      </c>
      <c r="D27" s="28" t="str">
        <f>IF($B27="","",IFERROR(INDEX(ΔΡΑΣΕΙΣ!$J$2:$J$399,MATCH($B27&amp;"#1",ΔΡΑΣΕΙΣ!$I$2:$I$399,0)),"")&amp;IFERROR(CHAR(10)&amp;INDEX(ΔΡΑΣΕΙΣ!$J$2:$J$399,MATCH($B27&amp;"#2",ΔΡΑΣΕΙΣ!$I$2:$I$399,0)),"")&amp;IFERROR(CHAR(10)&amp;INDEX(ΔΡΑΣΕΙΣ!$J$2:$J$399,MATCH($B27&amp;"#3",ΔΡΑΣΕΙΣ!$I$2:$I$399,0)),""))</f>
        <v/>
      </c>
    </row>
    <row r="28" spans="1:4" x14ac:dyDescent="0.3">
      <c r="A28" s="25" t="str">
        <f t="shared" si="0"/>
        <v>Τετ</v>
      </c>
      <c r="B28" s="26">
        <f t="shared" si="1"/>
        <v>46351</v>
      </c>
      <c r="C28" s="27" t="str">
        <f>IFERROR(INDEX(ΔΡΑΣΕΙΣ!$D$2:$D$399,MATCH($B28&amp;"#1",ΔΡΑΣΕΙΣ!$I$2:$I$399,0)),"")</f>
        <v/>
      </c>
      <c r="D28" s="28" t="str">
        <f>IF($B28="","",IFERROR(INDEX(ΔΡΑΣΕΙΣ!$J$2:$J$399,MATCH($B28&amp;"#1",ΔΡΑΣΕΙΣ!$I$2:$I$399,0)),"")&amp;IFERROR(CHAR(10)&amp;INDEX(ΔΡΑΣΕΙΣ!$J$2:$J$399,MATCH($B28&amp;"#2",ΔΡΑΣΕΙΣ!$I$2:$I$399,0)),"")&amp;IFERROR(CHAR(10)&amp;INDEX(ΔΡΑΣΕΙΣ!$J$2:$J$399,MATCH($B28&amp;"#3",ΔΡΑΣΕΙΣ!$I$2:$I$399,0)),""))</f>
        <v/>
      </c>
    </row>
    <row r="29" spans="1:4" x14ac:dyDescent="0.3">
      <c r="A29" s="25" t="str">
        <f t="shared" si="0"/>
        <v>Πέμ</v>
      </c>
      <c r="B29" s="26">
        <f t="shared" si="1"/>
        <v>46352</v>
      </c>
      <c r="C29" s="27" t="str">
        <f>IFERROR(INDEX(ΔΡΑΣΕΙΣ!$D$2:$D$399,MATCH($B29&amp;"#1",ΔΡΑΣΕΙΣ!$I$2:$I$399,0)),"")</f>
        <v/>
      </c>
      <c r="D29" s="28" t="str">
        <f>IF($B29="","",IFERROR(INDEX(ΔΡΑΣΕΙΣ!$J$2:$J$399,MATCH($B29&amp;"#1",ΔΡΑΣΕΙΣ!$I$2:$I$399,0)),"")&amp;IFERROR(CHAR(10)&amp;INDEX(ΔΡΑΣΕΙΣ!$J$2:$J$399,MATCH($B29&amp;"#2",ΔΡΑΣΕΙΣ!$I$2:$I$399,0)),"")&amp;IFERROR(CHAR(10)&amp;INDEX(ΔΡΑΣΕΙΣ!$J$2:$J$399,MATCH($B29&amp;"#3",ΔΡΑΣΕΙΣ!$I$2:$I$399,0)),""))</f>
        <v/>
      </c>
    </row>
    <row r="30" spans="1:4" x14ac:dyDescent="0.3">
      <c r="A30" s="25" t="str">
        <f t="shared" si="0"/>
        <v>Παρ</v>
      </c>
      <c r="B30" s="26">
        <f t="shared" si="1"/>
        <v>46353</v>
      </c>
      <c r="C30" s="27" t="str">
        <f>IFERROR(INDEX(ΔΡΑΣΕΙΣ!$D$2:$D$399,MATCH($B30&amp;"#1",ΔΡΑΣΕΙΣ!$I$2:$I$399,0)),"")</f>
        <v/>
      </c>
      <c r="D30" s="28" t="str">
        <f>IF($B30="","",IFERROR(INDEX(ΔΡΑΣΕΙΣ!$J$2:$J$399,MATCH($B30&amp;"#1",ΔΡΑΣΕΙΣ!$I$2:$I$399,0)),"")&amp;IFERROR(CHAR(10)&amp;INDEX(ΔΡΑΣΕΙΣ!$J$2:$J$399,MATCH($B30&amp;"#2",ΔΡΑΣΕΙΣ!$I$2:$I$399,0)),"")&amp;IFERROR(CHAR(10)&amp;INDEX(ΔΡΑΣΕΙΣ!$J$2:$J$399,MATCH($B30&amp;"#3",ΔΡΑΣΕΙΣ!$I$2:$I$399,0)),""))</f>
        <v/>
      </c>
    </row>
    <row r="31" spans="1:4" x14ac:dyDescent="0.3">
      <c r="A31" s="25" t="str">
        <f t="shared" si="0"/>
        <v>Σάβ</v>
      </c>
      <c r="B31" s="26">
        <f t="shared" si="1"/>
        <v>46354</v>
      </c>
      <c r="C31" s="27" t="str">
        <f>IFERROR(INDEX(ΔΡΑΣΕΙΣ!$D$2:$D$399,MATCH($B31&amp;"#1",ΔΡΑΣΕΙΣ!$I$2:$I$399,0)),"")</f>
        <v/>
      </c>
      <c r="D31" s="28" t="str">
        <f>IF($B31="","",IFERROR(INDEX(ΔΡΑΣΕΙΣ!$J$2:$J$399,MATCH($B31&amp;"#1",ΔΡΑΣΕΙΣ!$I$2:$I$399,0)),"")&amp;IFERROR(CHAR(10)&amp;INDEX(ΔΡΑΣΕΙΣ!$J$2:$J$399,MATCH($B31&amp;"#2",ΔΡΑΣΕΙΣ!$I$2:$I$399,0)),"")&amp;IFERROR(CHAR(10)&amp;INDEX(ΔΡΑΣΕΙΣ!$J$2:$J$399,MATCH($B31&amp;"#3",ΔΡΑΣΕΙΣ!$I$2:$I$399,0)),""))</f>
        <v/>
      </c>
    </row>
    <row r="32" spans="1:4" x14ac:dyDescent="0.3">
      <c r="A32" s="25" t="str">
        <f t="shared" si="0"/>
        <v>Κυρ</v>
      </c>
      <c r="B32" s="26">
        <f t="shared" si="1"/>
        <v>46355</v>
      </c>
      <c r="C32" s="27" t="str">
        <f>IFERROR(INDEX(ΔΡΑΣΕΙΣ!$D$2:$D$399,MATCH($B32&amp;"#1",ΔΡΑΣΕΙΣ!$I$2:$I$399,0)),"")</f>
        <v/>
      </c>
      <c r="D32" s="28" t="str">
        <f>IF($B32="","",IFERROR(INDEX(ΔΡΑΣΕΙΣ!$J$2:$J$399,MATCH($B32&amp;"#1",ΔΡΑΣΕΙΣ!$I$2:$I$399,0)),"")&amp;IFERROR(CHAR(10)&amp;INDEX(ΔΡΑΣΕΙΣ!$J$2:$J$399,MATCH($B32&amp;"#2",ΔΡΑΣΕΙΣ!$I$2:$I$399,0)),"")&amp;IFERROR(CHAR(10)&amp;INDEX(ΔΡΑΣΕΙΣ!$J$2:$J$399,MATCH($B32&amp;"#3",ΔΡΑΣΕΙΣ!$I$2:$I$399,0)),""))</f>
        <v/>
      </c>
    </row>
    <row r="33" spans="1:4" ht="20.399999999999999" x14ac:dyDescent="0.3">
      <c r="A33" s="25" t="str">
        <f t="shared" si="0"/>
        <v>Δευ</v>
      </c>
      <c r="B33" s="26">
        <f t="shared" si="1"/>
        <v>46356</v>
      </c>
      <c r="C33" s="27" t="str">
        <f>IFERROR(INDEX(ΔΡΑΣΕΙΣ!$D$2:$D$399,MATCH($B33&amp;"#1",ΔΡΑΣΕΙΣ!$I$2:$I$399,0)),"")</f>
        <v>Δράση / Πρόγραμμα / Όμιλος</v>
      </c>
      <c r="D33" s="28" t="str">
        <f>IF($B33="","",IFERROR(INDEX(ΔΡΑΣΕΙΣ!$J$2:$J$399,MATCH($B33&amp;"#1",ΔΡΑΣΕΙΣ!$I$2:$I$399,0)),"")&amp;IFERROR(CHAR(10)&amp;INDEX(ΔΡΑΣΕΙΣ!$J$2:$J$399,MATCH($B33&amp;"#2",ΔΡΑΣΕΙΣ!$I$2:$I$399,0)),"")&amp;IFERROR(CHAR(10)&amp;INDEX(ΔΡΑΣΕΙΣ!$J$2:$J$399,MATCH($B33&amp;"#3",ΔΡΑΣΕΙΣ!$I$2:$I$399,0)),""))</f>
        <v>09:00-12.30  Μουσείο Μακεδονικού Αγώνα</v>
      </c>
    </row>
    <row r="34" spans="1:4" x14ac:dyDescent="0.3">
      <c r="A34" s="25" t="str">
        <f t="shared" si="0"/>
        <v/>
      </c>
      <c r="B34" s="26" t="str">
        <f t="shared" si="1"/>
        <v/>
      </c>
      <c r="C34" s="27" t="str">
        <f>IFERROR(INDEX(ΔΡΑΣΕΙΣ!$D$2:$D$399,MATCH($B34&amp;"#1",ΔΡΑΣΕΙΣ!$I$2:$I$399,0)),"")</f>
        <v/>
      </c>
      <c r="D34" s="28" t="str">
        <f>IF($B34="","",IFERROR(INDEX(ΔΡΑΣΕΙΣ!$J$2:$J$399,MATCH($B34&amp;"#1",ΔΡΑΣΕΙΣ!$I$2:$I$399,0)),"")&amp;IFERROR(CHAR(10)&amp;INDEX(ΔΡΑΣΕΙΣ!$J$2:$J$399,MATCH($B34&amp;"#2",ΔΡΑΣΕΙΣ!$I$2:$I$399,0)),"")&amp;IFERROR(CHAR(10)&amp;INDEX(ΔΡΑΣΕΙΣ!$J$2:$J$399,MATCH($B34&amp;"#3",ΔΡΑΣΕΙΣ!$I$2:$I$399,0)),""))</f>
        <v/>
      </c>
    </row>
    <row r="36" spans="1:4" x14ac:dyDescent="0.3">
      <c r="A36" s="29" t="s">
        <v>67</v>
      </c>
    </row>
    <row r="37" spans="1:4" ht="15" customHeight="1" x14ac:dyDescent="0.3">
      <c r="A37" s="32"/>
      <c r="B37" t="s">
        <v>25</v>
      </c>
    </row>
    <row r="38" spans="1:4" ht="15" customHeight="1" x14ac:dyDescent="0.3">
      <c r="A38" s="30"/>
      <c r="B38" t="s">
        <v>26</v>
      </c>
    </row>
    <row r="39" spans="1:4" ht="15" customHeight="1" x14ac:dyDescent="0.3">
      <c r="A39" s="42"/>
      <c r="B39" t="s">
        <v>27</v>
      </c>
    </row>
    <row r="40" spans="1:4" ht="15" customHeight="1" x14ac:dyDescent="0.3">
      <c r="A40" s="43"/>
      <c r="B40" t="s">
        <v>28</v>
      </c>
    </row>
    <row r="41" spans="1:4" x14ac:dyDescent="0.3">
      <c r="A41" s="40"/>
      <c r="B41" s="98" t="s">
        <v>29</v>
      </c>
      <c r="C41" s="99"/>
      <c r="D41" s="99"/>
    </row>
    <row r="42" spans="1:4" x14ac:dyDescent="0.3">
      <c r="A42" s="31"/>
      <c r="B42" s="98" t="s">
        <v>30</v>
      </c>
      <c r="C42" s="99"/>
      <c r="D42" s="99"/>
    </row>
    <row r="43" spans="1:4" x14ac:dyDescent="0.3">
      <c r="A43" s="33"/>
      <c r="B43" s="98" t="s">
        <v>31</v>
      </c>
      <c r="C43" s="99"/>
      <c r="D43" s="99"/>
    </row>
    <row r="44" spans="1:4" x14ac:dyDescent="0.3">
      <c r="A44" s="41"/>
      <c r="B44" s="98" t="s">
        <v>32</v>
      </c>
      <c r="C44" s="98"/>
      <c r="D44" s="98"/>
    </row>
  </sheetData>
  <mergeCells count="6">
    <mergeCell ref="B44:D44"/>
    <mergeCell ref="A1:D1"/>
    <mergeCell ref="A2:D2"/>
    <mergeCell ref="B41:D41"/>
    <mergeCell ref="B42:D42"/>
    <mergeCell ref="B43:D43"/>
  </mergeCells>
  <conditionalFormatting sqref="A4:D34">
    <cfRule type="expression" dxfId="18" priority="1">
      <formula>$C4="Αργία / Διακοπές"</formula>
    </cfRule>
    <cfRule type="expression" dxfId="17" priority="2">
      <formula>$C4="Εορτή / Εκκλησιασμός"</formula>
    </cfRule>
    <cfRule type="expression" dxfId="16" priority="3">
      <formula>$C4="Εκδρομή / Επίσκεψη / Περίπατος"</formula>
    </cfRule>
    <cfRule type="expression" dxfId="15" priority="4">
      <formula>$C4="Σύλλογος διδασκόντων"</formula>
    </cfRule>
    <cfRule type="expression" dxfId="14" priority="5">
      <formula>$C4="Ενημέρωση γονέων / Έλεγχοι"</formula>
    </cfRule>
    <cfRule type="expression" dxfId="13" priority="6">
      <formula>$C4="Ορόσημο / Εξετάσεις"</formula>
    </cfRule>
    <cfRule type="expression" dxfId="12" priority="7">
      <formula>$C4="Επιμόρφωση εκπαιδευτικών"</formula>
    </cfRule>
    <cfRule type="expression" dxfId="11" priority="8">
      <formula>$C4="Δράση / Πρόγραμμα / Όμιλος"</formula>
    </cfRule>
    <cfRule type="expression" dxfId="10" priority="9">
      <formula>IF($B4="",0,WEEKDAY($B4,2)&gt;5)</formula>
    </cfRule>
  </conditionalFormatting>
  <dataValidations count="1">
    <dataValidation type="list" allowBlank="1" showInputMessage="1" showErrorMessage="1" sqref="G2" xr:uid="{A3E60828-E491-422A-872C-58E61D2442A3}">
      <formula1>$I$2:$I$11</formula1>
    </dataValidation>
  </dataValidations>
  <printOptions horizontalCentered="1"/>
  <pageMargins left="0.27777777777777779" right="0.27777777777777779" top="0.27777777777777779" bottom="0.27777777777777779" header="0.511811023622047" footer="0.5"/>
  <pageSetup paperSize="8" orientation="portrait" horizontalDpi="300" verticalDpi="300" r:id="rId1"/>
  <headerFooter>
    <oddFooter>&amp;L3ο ΓΥΜΝΑΣΙΟ ΠΟΛΙΧΝΗΣ&amp;R&amp;D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6</vt:i4>
      </vt:variant>
      <vt:variant>
        <vt:lpstr>Καθορισμένες περιοχές</vt:lpstr>
      </vt:variant>
      <vt:variant>
        <vt:i4>8</vt:i4>
      </vt:variant>
    </vt:vector>
  </HeadingPairs>
  <TitlesOfParts>
    <vt:vector size="14" baseType="lpstr">
      <vt:lpstr>ΟΔΗΓΙΕΣ</vt:lpstr>
      <vt:lpstr>ΚΑΤΗΓΟΡΙΕΣ</vt:lpstr>
      <vt:lpstr>ΔΡΑΣΕΙΣ</vt:lpstr>
      <vt:lpstr>ΑΦΙΣΑ_ΕΠΙΛΟΓΗΣ</vt:lpstr>
      <vt:lpstr>ΑΦΙΣΑ_1ΜΗΝΑΣ</vt:lpstr>
      <vt:lpstr>ΑΦΙΣΑ_1ΜΗΝΑΣ_λίστα</vt:lpstr>
      <vt:lpstr>ΑΦΙΣΑ_1ΜΗΝΑΣ!Print_Area</vt:lpstr>
      <vt:lpstr>ΑΦΙΣΑ_1ΜΗΝΑΣ_λίστα!Print_Area</vt:lpstr>
      <vt:lpstr>ΑΦΙΣΑ_ΕΠΙΛΟΓΗΣ!Print_Area</vt:lpstr>
      <vt:lpstr>ΔΡΑΣΕΙΣ!Print_Area</vt:lpstr>
      <vt:lpstr>ΑΦΙΣΑ_1ΜΗΝΑΣ!Print_Titles</vt:lpstr>
      <vt:lpstr>ΑΦΙΣΑ_1ΜΗΝΑΣ_λίστα!Print_Titles</vt:lpstr>
      <vt:lpstr>ΑΦΙΣΑ_ΕΠΙΛΟΓΗΣ!Print_Titles</vt:lpstr>
      <vt:lpstr>ΔΡΑΣΕΙΣ!Print_Titles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Passalidis</cp:lastModifiedBy>
  <cp:revision>0</cp:revision>
  <cp:lastPrinted>2026-09-29T12:42:40Z</cp:lastPrinted>
  <dcterms:created xsi:type="dcterms:W3CDTF">2026-09-19T11:40:43Z</dcterms:created>
  <dcterms:modified xsi:type="dcterms:W3CDTF">2026-10-01T13:17:18Z</dcterms:modified>
  <dc:language>en-US</dc:language>
</cp:coreProperties>
</file>