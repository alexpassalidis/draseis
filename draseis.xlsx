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<sst xmlns="http://schemas.openxmlformats.org/spreadsheetml/2006/main" count="271" uniqueCount="140">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</sst>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s">
        <v>138</v>
      </c>
      <c r="C9" s="21" t="s">
        <v>139</v>
      </c>
      <c r="D9" s="21" t="s">
        <v>32</v>
      </c>
      <c r="E9" s="21"/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46503</v>
      </c>
      <c r="B28" s="20"/>
      <c r="C28" s="21" t="s">
        <v>61</v>
      </c>
      <c r="D28" s="21" t="s">
        <v>25</v>
      </c>
      <c r="E28" s="21"/>
      <c r="F28" s="21"/>
      <c r="G28" s="21"/>
      <c r="H28" s="22" t="str">
        <f t="shared" si="0"/>
        <v>Δευ</v>
      </c>
      <c r="I28" s="23" t="str">
        <f>IF($A28="","",$A28&amp;"#"&amp;COUNTIF($A$2:$A28,$A28))</f>
        <v>46503#1</v>
      </c>
      <c r="J28" s="23" t="str">
        <f t="shared" si="1"/>
        <v>Διακοπές Πάσχα</v>
      </c>
    </row>
    <row r="29" spans="1:10" x14ac:dyDescent="0.3">
      <c r="A29" s="19">
        <v>46504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Τρί</v>
      </c>
      <c r="I29" s="23" t="str">
        <f>IF($A29="","",$A29&amp;"#"&amp;COUNTIF($A$2:$A29,$A29))</f>
        <v>46504#1</v>
      </c>
      <c r="J29" s="23" t="str">
        <f t="shared" si="1"/>
        <v>Διακοπές Πάσχα</v>
      </c>
    </row>
    <row r="30" spans="1:10" x14ac:dyDescent="0.3">
      <c r="A30" s="19">
        <v>46505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Τετ</v>
      </c>
      <c r="I30" s="23" t="str">
        <f>IF($A30="","",$A30&amp;"#"&amp;COUNTIF($A$2:$A30,$A30))</f>
        <v>46505#1</v>
      </c>
      <c r="J30" s="23" t="str">
        <f t="shared" si="1"/>
        <v>Διακοπές Πάσχα</v>
      </c>
    </row>
    <row r="31" spans="1:10" x14ac:dyDescent="0.3">
      <c r="A31" s="19">
        <v>46506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Πέμ</v>
      </c>
      <c r="I31" s="23" t="str">
        <f>IF($A31="","",$A31&amp;"#"&amp;COUNTIF($A$2:$A31,$A31))</f>
        <v>46506#1</v>
      </c>
      <c r="J31" s="23" t="str">
        <f t="shared" si="1"/>
        <v>Διακοπές Πάσχα</v>
      </c>
    </row>
    <row r="32" spans="1:10" x14ac:dyDescent="0.3">
      <c r="A32" s="19">
        <v>46507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Παρ</v>
      </c>
      <c r="I32" s="23" t="str">
        <f>IF($A32="","",$A32&amp;"#"&amp;COUNTIF($A$2:$A32,$A32))</f>
        <v>46507#1</v>
      </c>
      <c r="J32" s="23" t="str">
        <f t="shared" si="1"/>
        <v>Διακοπές Πάσχα</v>
      </c>
    </row>
    <row r="33" spans="1:10" x14ac:dyDescent="0.3">
      <c r="A33" s="19">
        <v>46510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Δευ</v>
      </c>
      <c r="I33" s="23" t="str">
        <f>IF($A33="","",$A33&amp;"#"&amp;COUNTIF($A$2:$A33,$A33))</f>
        <v>46510#1</v>
      </c>
      <c r="J33" s="23" t="str">
        <f t="shared" si="1"/>
        <v>Διακοπές Πάσχα</v>
      </c>
    </row>
    <row r="34" spans="1:10" x14ac:dyDescent="0.3">
      <c r="A34" s="19">
        <v>46511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Τρί</v>
      </c>
      <c r="I34" s="23" t="str">
        <f>IF($A34="","",$A34&amp;"#"&amp;COUNTIF($A$2:$A34,$A34))</f>
        <v>46511#1</v>
      </c>
      <c r="J34" s="23" t="str">
        <f t="shared" si="1"/>
        <v>Διακοπές Πάσχα</v>
      </c>
    </row>
    <row r="35" spans="1:10" x14ac:dyDescent="0.3">
      <c r="A35" s="19">
        <v>46512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Τετ</v>
      </c>
      <c r="I35" s="23" t="str">
        <f>IF($A35="","",$A35&amp;"#"&amp;COUNTIF($A$2:$A35,$A35))</f>
        <v>46512#1</v>
      </c>
      <c r="J35" s="23" t="str">
        <f t="shared" si="1"/>
        <v>Διακοπές Πάσχα</v>
      </c>
    </row>
    <row r="36" spans="1:10" x14ac:dyDescent="0.3">
      <c r="A36" s="19">
        <v>46513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Πέμ</v>
      </c>
      <c r="I36" s="23" t="str">
        <f>IF($A36="","",$A36&amp;"#"&amp;COUNTIF($A$2:$A36,$A36))</f>
        <v>46513#1</v>
      </c>
      <c r="J36" s="23" t="str">
        <f t="shared" si="1"/>
        <v>Διακοπές Πάσχα</v>
      </c>
    </row>
    <row r="37" spans="1:10" x14ac:dyDescent="0.3">
      <c r="A37" s="19">
        <v>46514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Παρ</v>
      </c>
      <c r="I37" s="23" t="str">
        <f>IF($A37="","",$A37&amp;"#"&amp;COUNTIF($A$2:$A37,$A37))</f>
        <v>46514#1</v>
      </c>
      <c r="J37" s="23" t="str">
        <f t="shared" si="1"/>
        <v>Διακοπές Πάσχα</v>
      </c>
    </row>
    <row r="38" spans="1:10" x14ac:dyDescent="0.3">
      <c r="A38" s="19">
        <v>46517</v>
      </c>
      <c r="B38" s="20"/>
      <c r="C38" s="21" t="s">
        <v>62</v>
      </c>
      <c r="D38" s="21" t="s">
        <v>30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46517#1</v>
      </c>
      <c r="J38" s="23" t="str">
        <f t="shared" si="1"/>
        <v>Επαναλειτουργία σχολείου μετά το Πάσχα (εκτίμηση)</v>
      </c>
    </row>
    <row r="39" spans="1:10" x14ac:dyDescent="0.3">
      <c r="A39" s="19">
        <v>46559</v>
      </c>
      <c r="B39" s="20"/>
      <c r="C39" s="21" t="s">
        <v>63</v>
      </c>
      <c r="D39" s="21" t="s">
        <v>25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46559#1</v>
      </c>
      <c r="J39" s="23" t="str">
        <f t="shared" si="1"/>
        <v>Αγίου Πνεύματος – Αργία</v>
      </c>
    </row>
    <row r="40" spans="1:10" x14ac:dyDescent="0.3">
      <c r="A40" s="19">
        <v>46568</v>
      </c>
      <c r="B40" s="20"/>
      <c r="C40" s="21" t="s">
        <v>64</v>
      </c>
      <c r="D40" s="21" t="s">
        <v>30</v>
      </c>
      <c r="E40" s="21"/>
      <c r="F40" s="21"/>
      <c r="G40" s="21"/>
      <c r="H40" s="22" t="str">
        <f t="shared" si="0"/>
        <v>Τετ</v>
      </c>
      <c r="I40" s="23" t="str">
        <f>IF($A40="","",$A40&amp;"#"&amp;COUNTIF($A$2:$A40,$A40))</f>
        <v>46568#1</v>
      </c>
      <c r="J40" s="23" t="str">
        <f t="shared" si="1"/>
        <v>Λήξη διδακτικού έτους</v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